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 per Cabang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<sst xmlns="http://schemas.openxmlformats.org/spreadsheetml/2006/main" count="472" uniqueCount="71">
  <si>
    <t>Data Inventori &amp; Stok Bahan Baku</t>
  </si>
  <si>
    <t>PT Makan Mania Mantap — snapshot per 6 September 2026 (fiktif, untuk testing)</t>
  </si>
  <si>
    <t>Cabang</t>
  </si>
  <si>
    <t>Kode Bahan</t>
  </si>
  <si>
    <t>Nama Bahan</t>
  </si>
  <si>
    <t>Kategori</t>
  </si>
  <si>
    <t>Satuan</t>
  </si>
  <si>
    <t>Stok Saat Ini</t>
  </si>
  <si>
    <t>Stok Minimum</t>
  </si>
  <si>
    <t>Status</t>
  </si>
  <si>
    <t>Harga Satuan (Rp)</t>
  </si>
  <si>
    <t>Nilai Stok (Rp)</t>
  </si>
  <si>
    <t>MMM Kemang</t>
  </si>
  <si>
    <t>BB-01</t>
  </si>
  <si>
    <t>Beras Premium</t>
  </si>
  <si>
    <t>Karbohidrat</t>
  </si>
  <si>
    <t>kg</t>
  </si>
  <si>
    <t>BB-02</t>
  </si>
  <si>
    <t>Daging Ayam Fillet</t>
  </si>
  <si>
    <t>Protein</t>
  </si>
  <si>
    <t>BB-03</t>
  </si>
  <si>
    <t>Daging Sapi Has Dalam</t>
  </si>
  <si>
    <t>BB-04</t>
  </si>
  <si>
    <t>Udang Segar</t>
  </si>
  <si>
    <t>BB-05</t>
  </si>
  <si>
    <t>Telur Ayam</t>
  </si>
  <si>
    <t>BB-06</t>
  </si>
  <si>
    <t>Mie Telur Kering</t>
  </si>
  <si>
    <t>BB-07</t>
  </si>
  <si>
    <t>Tepung Terigu</t>
  </si>
  <si>
    <t>BB-08</t>
  </si>
  <si>
    <t>Minyak Goreng</t>
  </si>
  <si>
    <t>Bumbu &amp; Minyak</t>
  </si>
  <si>
    <t>liter</t>
  </si>
  <si>
    <t>BB-09</t>
  </si>
  <si>
    <t>Bawang Merah</t>
  </si>
  <si>
    <t>Sayuran &amp; Bumbu</t>
  </si>
  <si>
    <t>BB-10</t>
  </si>
  <si>
    <t>Bawang Putih</t>
  </si>
  <si>
    <t>BB-11</t>
  </si>
  <si>
    <t>Cabai Merah Keriting</t>
  </si>
  <si>
    <t>BB-12</t>
  </si>
  <si>
    <t>Tomat</t>
  </si>
  <si>
    <t>BB-13</t>
  </si>
  <si>
    <t>Kentang</t>
  </si>
  <si>
    <t>BB-14</t>
  </si>
  <si>
    <t>Keju Cheddar</t>
  </si>
  <si>
    <t>Dairy</t>
  </si>
  <si>
    <t>BB-15</t>
  </si>
  <si>
    <t>Kopi Bubuk Arabika</t>
  </si>
  <si>
    <t>Minuman</t>
  </si>
  <si>
    <t>BB-16</t>
  </si>
  <si>
    <t>Teh Celup</t>
  </si>
  <si>
    <t>box isi 25</t>
  </si>
  <si>
    <t>BB-17</t>
  </si>
  <si>
    <t>Susu UHT Full Cream</t>
  </si>
  <si>
    <t>BB-18</t>
  </si>
  <si>
    <t>Gula Pasir</t>
  </si>
  <si>
    <t>MMM Bintaro</t>
  </si>
  <si>
    <t>MMM Dago Bandung</t>
  </si>
  <si>
    <t>MMM Darmo Surabaya</t>
  </si>
  <si>
    <t>MMM Malioboro Yogyakarta</t>
  </si>
  <si>
    <t>Ringkasan Status Inventori — Semua Cabang</t>
  </si>
  <si>
    <t>PT Makan Mania Mantap</t>
  </si>
  <si>
    <t>Keterangan</t>
  </si>
  <si>
    <t>Jumlah Baris</t>
  </si>
  <si>
    <t>Total Nilai Stok (Rp)</t>
  </si>
  <si>
    <t>Total Item Terpantau (semua cabang)</t>
  </si>
  <si>
    <t>Status: Aman</t>
  </si>
  <si>
    <t/>
  </si>
  <si>
    <t>Status: Perlu Restock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</si>
</sst>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B2118"/>
      <sz val="14"/>
    </font>
    <font>
      <i/>
      <color rgb="FF666666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85D26"/>
      </patternFill>
    </fill>
    <fill>
      <patternFill patternType="solid">
        <fgColor rgb="FFFFE0D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24" customWidth="1"/>
    <col min="4" max="4" width="16" customWidth="1"/>
    <col min="5" max="7" width="12" customWidth="1"/>
    <col min="8" max="8" width="14" customWidth="1"/>
    <col min="9" max="10" width="16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s="4" customFormat="1" x14ac:dyDescent="0.2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>
        <v>47</v>
      </c>
      <c r="G5" s="4">
        <v>23</v>
      </c>
      <c r="H5" s="4" t="str">
        <f>IF(F5&lt;G5,"Perlu Restock","Aman")</f>
        <v>Aman</v>
      </c>
      <c r="I5" s="5">
        <v>13500</v>
      </c>
      <c r="J5" s="5">
        <f>F5*I5</f>
        <v>634500</v>
      </c>
    </row>
    <row r="6" spans="1:10" s="4" customFormat="1" x14ac:dyDescent="0.25">
      <c r="A6" s="4" t="s">
        <v>12</v>
      </c>
      <c r="B6" s="4" t="s">
        <v>17</v>
      </c>
      <c r="C6" s="4" t="s">
        <v>18</v>
      </c>
      <c r="D6" s="4" t="s">
        <v>19</v>
      </c>
      <c r="E6" s="4" t="s">
        <v>16</v>
      </c>
      <c r="F6" s="4">
        <v>25</v>
      </c>
      <c r="G6" s="4">
        <v>21</v>
      </c>
      <c r="H6" s="4" t="str">
        <f>IF(F6&lt;G6,"Perlu Restock","Aman")</f>
        <v>Aman</v>
      </c>
      <c r="I6" s="5">
        <v>38000</v>
      </c>
      <c r="J6" s="5">
        <f>F6*I6</f>
        <v>950000</v>
      </c>
    </row>
    <row r="7" spans="1:10" s="4" customFormat="1" x14ac:dyDescent="0.25">
      <c r="A7" s="4" t="s">
        <v>12</v>
      </c>
      <c r="B7" s="4" t="s">
        <v>20</v>
      </c>
      <c r="C7" s="4" t="s">
        <v>21</v>
      </c>
      <c r="D7" s="4" t="s">
        <v>19</v>
      </c>
      <c r="E7" s="4" t="s">
        <v>16</v>
      </c>
      <c r="F7" s="4">
        <v>26</v>
      </c>
      <c r="G7" s="4">
        <v>23</v>
      </c>
      <c r="H7" s="4" t="str">
        <f>IF(F7&lt;G7,"Perlu Restock","Aman")</f>
        <v>Aman</v>
      </c>
      <c r="I7" s="5">
        <v>135000</v>
      </c>
      <c r="J7" s="5">
        <f>F7*I7</f>
        <v>3510000</v>
      </c>
    </row>
    <row r="8" spans="1:10" s="4" customFormat="1" x14ac:dyDescent="0.25">
      <c r="A8" s="4" t="s">
        <v>12</v>
      </c>
      <c r="B8" s="4" t="s">
        <v>22</v>
      </c>
      <c r="C8" s="4" t="s">
        <v>23</v>
      </c>
      <c r="D8" s="4" t="s">
        <v>19</v>
      </c>
      <c r="E8" s="4" t="s">
        <v>16</v>
      </c>
      <c r="F8" s="4">
        <v>44</v>
      </c>
      <c r="G8" s="4">
        <v>22</v>
      </c>
      <c r="H8" s="4" t="str">
        <f>IF(F8&lt;G8,"Perlu Restock","Aman")</f>
        <v>Aman</v>
      </c>
      <c r="I8" s="5">
        <v>95000</v>
      </c>
      <c r="J8" s="5">
        <f>F8*I8</f>
        <v>4180000</v>
      </c>
    </row>
    <row r="9" spans="1:10" s="4" customFormat="1" x14ac:dyDescent="0.25">
      <c r="A9" s="4" t="s">
        <v>12</v>
      </c>
      <c r="B9" s="4" t="s">
        <v>24</v>
      </c>
      <c r="C9" s="4" t="s">
        <v>25</v>
      </c>
      <c r="D9" s="4" t="s">
        <v>19</v>
      </c>
      <c r="E9" s="4" t="s">
        <v>16</v>
      </c>
      <c r="F9" s="4">
        <v>31</v>
      </c>
      <c r="G9" s="4">
        <v>20</v>
      </c>
      <c r="H9" s="4" t="str">
        <f>IF(F9&lt;G9,"Perlu Restock","Aman")</f>
        <v>Aman</v>
      </c>
      <c r="I9" s="5">
        <v>28000</v>
      </c>
      <c r="J9" s="5">
        <f>F9*I9</f>
        <v>868000</v>
      </c>
    </row>
    <row r="10" spans="1:10" s="4" customFormat="1" x14ac:dyDescent="0.25">
      <c r="A10" s="4" t="s">
        <v>12</v>
      </c>
      <c r="B10" s="4" t="s">
        <v>26</v>
      </c>
      <c r="C10" s="4" t="s">
        <v>27</v>
      </c>
      <c r="D10" s="4" t="s">
        <v>15</v>
      </c>
      <c r="E10" s="4" t="s">
        <v>16</v>
      </c>
      <c r="F10" s="4">
        <v>40</v>
      </c>
      <c r="G10" s="4">
        <v>25</v>
      </c>
      <c r="H10" s="4" t="str">
        <f>IF(F10&lt;G10,"Perlu Restock","Aman")</f>
        <v>Aman</v>
      </c>
      <c r="I10" s="5">
        <v>22000</v>
      </c>
      <c r="J10" s="5">
        <f>F10*I10</f>
        <v>880000</v>
      </c>
    </row>
    <row r="11" spans="1:10" s="4" customFormat="1" x14ac:dyDescent="0.25">
      <c r="A11" s="4" t="s">
        <v>12</v>
      </c>
      <c r="B11" s="4" t="s">
        <v>28</v>
      </c>
      <c r="C11" s="4" t="s">
        <v>29</v>
      </c>
      <c r="D11" s="4" t="s">
        <v>15</v>
      </c>
      <c r="E11" s="4" t="s">
        <v>16</v>
      </c>
      <c r="F11" s="4">
        <v>36</v>
      </c>
      <c r="G11" s="4">
        <v>20</v>
      </c>
      <c r="H11" s="4" t="str">
        <f>IF(F11&lt;G11,"Perlu Restock","Aman")</f>
        <v>Aman</v>
      </c>
      <c r="I11" s="5">
        <v>12000</v>
      </c>
      <c r="J11" s="5">
        <f>F11*I11</f>
        <v>432000</v>
      </c>
    </row>
    <row r="12" spans="1:10" s="4" customFormat="1" x14ac:dyDescent="0.25">
      <c r="A12" s="4" t="s">
        <v>12</v>
      </c>
      <c r="B12" s="4" t="s">
        <v>30</v>
      </c>
      <c r="C12" s="4" t="s">
        <v>31</v>
      </c>
      <c r="D12" s="4" t="s">
        <v>32</v>
      </c>
      <c r="E12" s="4" t="s">
        <v>33</v>
      </c>
      <c r="F12" s="4">
        <v>43</v>
      </c>
      <c r="G12" s="4">
        <v>24</v>
      </c>
      <c r="H12" s="4" t="str">
        <f>IF(F12&lt;G12,"Perlu Restock","Aman")</f>
        <v>Aman</v>
      </c>
      <c r="I12" s="5">
        <v>17000</v>
      </c>
      <c r="J12" s="5">
        <f>F12*I12</f>
        <v>731000</v>
      </c>
    </row>
    <row r="13" spans="1:10" s="4" customFormat="1" x14ac:dyDescent="0.25">
      <c r="A13" s="4" t="s">
        <v>12</v>
      </c>
      <c r="B13" s="4" t="s">
        <v>34</v>
      </c>
      <c r="C13" s="4" t="s">
        <v>35</v>
      </c>
      <c r="D13" s="4" t="s">
        <v>36</v>
      </c>
      <c r="E13" s="4" t="s">
        <v>16</v>
      </c>
      <c r="F13" s="4">
        <v>42</v>
      </c>
      <c r="G13" s="4">
        <v>24</v>
      </c>
      <c r="H13" s="4" t="str">
        <f>IF(F13&lt;G13,"Perlu Restock","Aman")</f>
        <v>Aman</v>
      </c>
      <c r="I13" s="5">
        <v>32000</v>
      </c>
      <c r="J13" s="5">
        <f>F13*I13</f>
        <v>1344000</v>
      </c>
    </row>
    <row r="14" spans="1:10" s="4" customFormat="1" x14ac:dyDescent="0.25">
      <c r="A14" s="6" t="s">
        <v>12</v>
      </c>
      <c r="B14" s="6" t="s">
        <v>37</v>
      </c>
      <c r="C14" s="6" t="s">
        <v>38</v>
      </c>
      <c r="D14" s="6" t="s">
        <v>36</v>
      </c>
      <c r="E14" s="6" t="s">
        <v>16</v>
      </c>
      <c r="F14" s="6">
        <v>18</v>
      </c>
      <c r="G14" s="6">
        <v>25</v>
      </c>
      <c r="H14" s="6" t="str">
        <f>IF(F14&lt;G14,"Perlu Restock","Aman")</f>
        <v>Perlu Restock</v>
      </c>
      <c r="I14" s="7">
        <v>30000</v>
      </c>
      <c r="J14" s="7">
        <f>F14*I14</f>
        <v>540000</v>
      </c>
    </row>
    <row r="15" spans="1:10" s="4" customFormat="1" x14ac:dyDescent="0.25">
      <c r="A15" s="4" t="s">
        <v>12</v>
      </c>
      <c r="B15" s="4" t="s">
        <v>39</v>
      </c>
      <c r="C15" s="4" t="s">
        <v>40</v>
      </c>
      <c r="D15" s="4" t="s">
        <v>36</v>
      </c>
      <c r="E15" s="4" t="s">
        <v>16</v>
      </c>
      <c r="F15" s="4">
        <v>45</v>
      </c>
      <c r="G15" s="4">
        <v>23</v>
      </c>
      <c r="H15" s="4" t="str">
        <f>IF(F15&lt;G15,"Perlu Restock","Aman")</f>
        <v>Aman</v>
      </c>
      <c r="I15" s="5">
        <v>45000</v>
      </c>
      <c r="J15" s="5">
        <f>F15*I15</f>
        <v>2025000</v>
      </c>
    </row>
    <row r="16" spans="1:10" s="4" customFormat="1" x14ac:dyDescent="0.25">
      <c r="A16" s="4" t="s">
        <v>12</v>
      </c>
      <c r="B16" s="4" t="s">
        <v>41</v>
      </c>
      <c r="C16" s="4" t="s">
        <v>42</v>
      </c>
      <c r="D16" s="4" t="s">
        <v>36</v>
      </c>
      <c r="E16" s="4" t="s">
        <v>16</v>
      </c>
      <c r="F16" s="4">
        <v>31</v>
      </c>
      <c r="G16" s="4">
        <v>24</v>
      </c>
      <c r="H16" s="4" t="str">
        <f>IF(F16&lt;G16,"Perlu Restock","Aman")</f>
        <v>Aman</v>
      </c>
      <c r="I16" s="5">
        <v>12000</v>
      </c>
      <c r="J16" s="5">
        <f>F16*I16</f>
        <v>372000</v>
      </c>
    </row>
    <row r="17" spans="1:10" s="4" customFormat="1" x14ac:dyDescent="0.25">
      <c r="A17" s="4" t="s">
        <v>12</v>
      </c>
      <c r="B17" s="4" t="s">
        <v>43</v>
      </c>
      <c r="C17" s="4" t="s">
        <v>44</v>
      </c>
      <c r="D17" s="4" t="s">
        <v>36</v>
      </c>
      <c r="E17" s="4" t="s">
        <v>16</v>
      </c>
      <c r="F17" s="4">
        <v>22</v>
      </c>
      <c r="G17" s="4">
        <v>17</v>
      </c>
      <c r="H17" s="4" t="str">
        <f>IF(F17&lt;G17,"Perlu Restock","Aman")</f>
        <v>Aman</v>
      </c>
      <c r="I17" s="5">
        <v>15000</v>
      </c>
      <c r="J17" s="5">
        <f>F17*I17</f>
        <v>330000</v>
      </c>
    </row>
    <row r="18" spans="1:10" s="4" customFormat="1" x14ac:dyDescent="0.25">
      <c r="A18" s="4" t="s">
        <v>12</v>
      </c>
      <c r="B18" s="4" t="s">
        <v>45</v>
      </c>
      <c r="C18" s="4" t="s">
        <v>46</v>
      </c>
      <c r="D18" s="4" t="s">
        <v>47</v>
      </c>
      <c r="E18" s="4" t="s">
        <v>16</v>
      </c>
      <c r="F18" s="4">
        <v>29</v>
      </c>
      <c r="G18" s="4">
        <v>25</v>
      </c>
      <c r="H18" s="4" t="str">
        <f>IF(F18&lt;G18,"Perlu Restock","Aman")</f>
        <v>Aman</v>
      </c>
      <c r="I18" s="5">
        <v>85000</v>
      </c>
      <c r="J18" s="5">
        <f>F18*I18</f>
        <v>2465000</v>
      </c>
    </row>
    <row r="19" spans="1:10" s="4" customFormat="1" x14ac:dyDescent="0.25">
      <c r="A19" s="6" t="s">
        <v>12</v>
      </c>
      <c r="B19" s="6" t="s">
        <v>48</v>
      </c>
      <c r="C19" s="6" t="s">
        <v>49</v>
      </c>
      <c r="D19" s="6" t="s">
        <v>50</v>
      </c>
      <c r="E19" s="6" t="s">
        <v>16</v>
      </c>
      <c r="F19" s="6">
        <v>10</v>
      </c>
      <c r="G19" s="6">
        <v>20</v>
      </c>
      <c r="H19" s="6" t="str">
        <f>IF(F19&lt;G19,"Perlu Restock","Aman")</f>
        <v>Perlu Restock</v>
      </c>
      <c r="I19" s="7">
        <v>130000</v>
      </c>
      <c r="J19" s="7">
        <f>F19*I19</f>
        <v>1300000</v>
      </c>
    </row>
    <row r="20" spans="1:10" s="4" customFormat="1" x14ac:dyDescent="0.25">
      <c r="A20" s="6" t="s">
        <v>12</v>
      </c>
      <c r="B20" s="6" t="s">
        <v>51</v>
      </c>
      <c r="C20" s="6" t="s">
        <v>52</v>
      </c>
      <c r="D20" s="6" t="s">
        <v>50</v>
      </c>
      <c r="E20" s="6" t="s">
        <v>53</v>
      </c>
      <c r="F20" s="6">
        <v>8</v>
      </c>
      <c r="G20" s="6">
        <v>12</v>
      </c>
      <c r="H20" s="6" t="str">
        <f>IF(F20&lt;G20,"Perlu Restock","Aman")</f>
        <v>Perlu Restock</v>
      </c>
      <c r="I20" s="7">
        <v>18000</v>
      </c>
      <c r="J20" s="7">
        <f>F20*I20</f>
        <v>144000</v>
      </c>
    </row>
    <row r="21" spans="1:10" s="4" customFormat="1" x14ac:dyDescent="0.25">
      <c r="A21" s="4" t="s">
        <v>12</v>
      </c>
      <c r="B21" s="4" t="s">
        <v>54</v>
      </c>
      <c r="C21" s="4" t="s">
        <v>55</v>
      </c>
      <c r="D21" s="4" t="s">
        <v>47</v>
      </c>
      <c r="E21" s="4" t="s">
        <v>33</v>
      </c>
      <c r="F21" s="4">
        <v>31</v>
      </c>
      <c r="G21" s="4">
        <v>19</v>
      </c>
      <c r="H21" s="4" t="str">
        <f>IF(F21&lt;G21,"Perlu Restock","Aman")</f>
        <v>Aman</v>
      </c>
      <c r="I21" s="5">
        <v>19000</v>
      </c>
      <c r="J21" s="5">
        <f>F21*I21</f>
        <v>589000</v>
      </c>
    </row>
    <row r="22" spans="1:10" s="4" customFormat="1" x14ac:dyDescent="0.25">
      <c r="A22" s="4" t="s">
        <v>12</v>
      </c>
      <c r="B22" s="4" t="s">
        <v>56</v>
      </c>
      <c r="C22" s="4" t="s">
        <v>57</v>
      </c>
      <c r="D22" s="4" t="s">
        <v>32</v>
      </c>
      <c r="E22" s="4" t="s">
        <v>16</v>
      </c>
      <c r="F22" s="4">
        <v>29</v>
      </c>
      <c r="G22" s="4">
        <v>22</v>
      </c>
      <c r="H22" s="4" t="str">
        <f>IF(F22&lt;G22,"Perlu Restock","Aman")</f>
        <v>Aman</v>
      </c>
      <c r="I22" s="5">
        <v>14000</v>
      </c>
      <c r="J22" s="5">
        <f>F22*I22</f>
        <v>406000</v>
      </c>
    </row>
    <row r="23" spans="1:10" s="4" customFormat="1" x14ac:dyDescent="0.25">
      <c r="A23" s="4" t="s">
        <v>58</v>
      </c>
      <c r="B23" s="4" t="s">
        <v>13</v>
      </c>
      <c r="C23" s="4" t="s">
        <v>14</v>
      </c>
      <c r="D23" s="4" t="s">
        <v>15</v>
      </c>
      <c r="E23" s="4" t="s">
        <v>16</v>
      </c>
      <c r="F23" s="4">
        <v>23</v>
      </c>
      <c r="G23" s="4">
        <v>13</v>
      </c>
      <c r="H23" s="4" t="str">
        <f>IF(F23&lt;G23,"Perlu Restock","Aman")</f>
        <v>Aman</v>
      </c>
      <c r="I23" s="5">
        <v>13500</v>
      </c>
      <c r="J23" s="5">
        <f>F23*I23</f>
        <v>310500</v>
      </c>
    </row>
    <row r="24" spans="1:10" s="4" customFormat="1" x14ac:dyDescent="0.25">
      <c r="A24" s="4" t="s">
        <v>58</v>
      </c>
      <c r="B24" s="4" t="s">
        <v>17</v>
      </c>
      <c r="C24" s="4" t="s">
        <v>18</v>
      </c>
      <c r="D24" s="4" t="s">
        <v>19</v>
      </c>
      <c r="E24" s="4" t="s">
        <v>16</v>
      </c>
      <c r="F24" s="4">
        <v>25</v>
      </c>
      <c r="G24" s="4">
        <v>16</v>
      </c>
      <c r="H24" s="4" t="str">
        <f>IF(F24&lt;G24,"Perlu Restock","Aman")</f>
        <v>Aman</v>
      </c>
      <c r="I24" s="5">
        <v>38000</v>
      </c>
      <c r="J24" s="5">
        <f>F24*I24</f>
        <v>950000</v>
      </c>
    </row>
    <row r="25" spans="1:10" s="4" customFormat="1" x14ac:dyDescent="0.25">
      <c r="A25" s="4" t="s">
        <v>58</v>
      </c>
      <c r="B25" s="4" t="s">
        <v>20</v>
      </c>
      <c r="C25" s="4" t="s">
        <v>21</v>
      </c>
      <c r="D25" s="4" t="s">
        <v>19</v>
      </c>
      <c r="E25" s="4" t="s">
        <v>16</v>
      </c>
      <c r="F25" s="4">
        <v>29</v>
      </c>
      <c r="G25" s="4">
        <v>14</v>
      </c>
      <c r="H25" s="4" t="str">
        <f>IF(F25&lt;G25,"Perlu Restock","Aman")</f>
        <v>Aman</v>
      </c>
      <c r="I25" s="5">
        <v>135000</v>
      </c>
      <c r="J25" s="5">
        <f>F25*I25</f>
        <v>3915000</v>
      </c>
    </row>
    <row r="26" spans="1:10" s="4" customFormat="1" x14ac:dyDescent="0.25">
      <c r="A26" s="4" t="s">
        <v>58</v>
      </c>
      <c r="B26" s="4" t="s">
        <v>22</v>
      </c>
      <c r="C26" s="4" t="s">
        <v>23</v>
      </c>
      <c r="D26" s="4" t="s">
        <v>19</v>
      </c>
      <c r="E26" s="4" t="s">
        <v>16</v>
      </c>
      <c r="F26" s="4">
        <v>29</v>
      </c>
      <c r="G26" s="4">
        <v>13</v>
      </c>
      <c r="H26" s="4" t="str">
        <f>IF(F26&lt;G26,"Perlu Restock","Aman")</f>
        <v>Aman</v>
      </c>
      <c r="I26" s="5">
        <v>95000</v>
      </c>
      <c r="J26" s="5">
        <f>F26*I26</f>
        <v>2755000</v>
      </c>
    </row>
    <row r="27" spans="1:10" s="4" customFormat="1" x14ac:dyDescent="0.25">
      <c r="A27" s="4" t="s">
        <v>58</v>
      </c>
      <c r="B27" s="4" t="s">
        <v>24</v>
      </c>
      <c r="C27" s="4" t="s">
        <v>25</v>
      </c>
      <c r="D27" s="4" t="s">
        <v>19</v>
      </c>
      <c r="E27" s="4" t="s">
        <v>16</v>
      </c>
      <c r="F27" s="4">
        <v>26</v>
      </c>
      <c r="G27" s="4">
        <v>14</v>
      </c>
      <c r="H27" s="4" t="str">
        <f>IF(F27&lt;G27,"Perlu Restock","Aman")</f>
        <v>Aman</v>
      </c>
      <c r="I27" s="5">
        <v>28000</v>
      </c>
      <c r="J27" s="5">
        <f>F27*I27</f>
        <v>728000</v>
      </c>
    </row>
    <row r="28" spans="1:10" s="4" customFormat="1" x14ac:dyDescent="0.25">
      <c r="A28" s="4" t="s">
        <v>58</v>
      </c>
      <c r="B28" s="4" t="s">
        <v>26</v>
      </c>
      <c r="C28" s="4" t="s">
        <v>27</v>
      </c>
      <c r="D28" s="4" t="s">
        <v>15</v>
      </c>
      <c r="E28" s="4" t="s">
        <v>16</v>
      </c>
      <c r="F28" s="4">
        <v>27</v>
      </c>
      <c r="G28" s="4">
        <v>15</v>
      </c>
      <c r="H28" s="4" t="str">
        <f>IF(F28&lt;G28,"Perlu Restock","Aman")</f>
        <v>Aman</v>
      </c>
      <c r="I28" s="5">
        <v>22000</v>
      </c>
      <c r="J28" s="5">
        <f>F28*I28</f>
        <v>594000</v>
      </c>
    </row>
    <row r="29" spans="1:10" s="4" customFormat="1" x14ac:dyDescent="0.25">
      <c r="A29" s="4" t="s">
        <v>58</v>
      </c>
      <c r="B29" s="4" t="s">
        <v>28</v>
      </c>
      <c r="C29" s="4" t="s">
        <v>29</v>
      </c>
      <c r="D29" s="4" t="s">
        <v>15</v>
      </c>
      <c r="E29" s="4" t="s">
        <v>16</v>
      </c>
      <c r="F29" s="4">
        <v>23</v>
      </c>
      <c r="G29" s="4">
        <v>20</v>
      </c>
      <c r="H29" s="4" t="str">
        <f>IF(F29&lt;G29,"Perlu Restock","Aman")</f>
        <v>Aman</v>
      </c>
      <c r="I29" s="5">
        <v>12000</v>
      </c>
      <c r="J29" s="5">
        <f>F29*I29</f>
        <v>276000</v>
      </c>
    </row>
    <row r="30" spans="1:10" s="4" customFormat="1" x14ac:dyDescent="0.25">
      <c r="A30" s="4" t="s">
        <v>58</v>
      </c>
      <c r="B30" s="4" t="s">
        <v>30</v>
      </c>
      <c r="C30" s="4" t="s">
        <v>31</v>
      </c>
      <c r="D30" s="4" t="s">
        <v>32</v>
      </c>
      <c r="E30" s="4" t="s">
        <v>33</v>
      </c>
      <c r="F30" s="4">
        <v>28</v>
      </c>
      <c r="G30" s="4">
        <v>14</v>
      </c>
      <c r="H30" s="4" t="str">
        <f>IF(F30&lt;G30,"Perlu Restock","Aman")</f>
        <v>Aman</v>
      </c>
      <c r="I30" s="5">
        <v>17000</v>
      </c>
      <c r="J30" s="5">
        <f>F30*I30</f>
        <v>476000</v>
      </c>
    </row>
    <row r="31" spans="1:10" s="4" customFormat="1" x14ac:dyDescent="0.25">
      <c r="A31" s="6" t="s">
        <v>58</v>
      </c>
      <c r="B31" s="6" t="s">
        <v>34</v>
      </c>
      <c r="C31" s="6" t="s">
        <v>35</v>
      </c>
      <c r="D31" s="6" t="s">
        <v>36</v>
      </c>
      <c r="E31" s="6" t="s">
        <v>16</v>
      </c>
      <c r="F31" s="6">
        <v>8</v>
      </c>
      <c r="G31" s="6">
        <v>16</v>
      </c>
      <c r="H31" s="6" t="str">
        <f>IF(F31&lt;G31,"Perlu Restock","Aman")</f>
        <v>Perlu Restock</v>
      </c>
      <c r="I31" s="7">
        <v>32000</v>
      </c>
      <c r="J31" s="7">
        <f>F31*I31</f>
        <v>256000</v>
      </c>
    </row>
    <row r="32" spans="1:10" s="4" customFormat="1" x14ac:dyDescent="0.25">
      <c r="A32" s="4" t="s">
        <v>58</v>
      </c>
      <c r="B32" s="4" t="s">
        <v>37</v>
      </c>
      <c r="C32" s="4" t="s">
        <v>38</v>
      </c>
      <c r="D32" s="4" t="s">
        <v>36</v>
      </c>
      <c r="E32" s="4" t="s">
        <v>16</v>
      </c>
      <c r="F32" s="4">
        <v>31</v>
      </c>
      <c r="G32" s="4">
        <v>19</v>
      </c>
      <c r="H32" s="4" t="str">
        <f>IF(F32&lt;G32,"Perlu Restock","Aman")</f>
        <v>Aman</v>
      </c>
      <c r="I32" s="5">
        <v>30000</v>
      </c>
      <c r="J32" s="5">
        <f>F32*I32</f>
        <v>930000</v>
      </c>
    </row>
    <row r="33" spans="1:10" s="4" customFormat="1" x14ac:dyDescent="0.25">
      <c r="A33" s="4" t="s">
        <v>58</v>
      </c>
      <c r="B33" s="4" t="s">
        <v>39</v>
      </c>
      <c r="C33" s="4" t="s">
        <v>40</v>
      </c>
      <c r="D33" s="4" t="s">
        <v>36</v>
      </c>
      <c r="E33" s="4" t="s">
        <v>16</v>
      </c>
      <c r="F33" s="4">
        <v>31</v>
      </c>
      <c r="G33" s="4">
        <v>17</v>
      </c>
      <c r="H33" s="4" t="str">
        <f>IF(F33&lt;G33,"Perlu Restock","Aman")</f>
        <v>Aman</v>
      </c>
      <c r="I33" s="5">
        <v>45000</v>
      </c>
      <c r="J33" s="5">
        <f>F33*I33</f>
        <v>1395000</v>
      </c>
    </row>
    <row r="34" spans="1:10" s="4" customFormat="1" x14ac:dyDescent="0.25">
      <c r="A34" s="4" t="s">
        <v>58</v>
      </c>
      <c r="B34" s="4" t="s">
        <v>41</v>
      </c>
      <c r="C34" s="4" t="s">
        <v>42</v>
      </c>
      <c r="D34" s="4" t="s">
        <v>36</v>
      </c>
      <c r="E34" s="4" t="s">
        <v>16</v>
      </c>
      <c r="F34" s="4">
        <v>28</v>
      </c>
      <c r="G34" s="4">
        <v>18</v>
      </c>
      <c r="H34" s="4" t="str">
        <f>IF(F34&lt;G34,"Perlu Restock","Aman")</f>
        <v>Aman</v>
      </c>
      <c r="I34" s="5">
        <v>12000</v>
      </c>
      <c r="J34" s="5">
        <f>F34*I34</f>
        <v>336000</v>
      </c>
    </row>
    <row r="35" spans="1:10" s="4" customFormat="1" x14ac:dyDescent="0.25">
      <c r="A35" s="4" t="s">
        <v>58</v>
      </c>
      <c r="B35" s="4" t="s">
        <v>43</v>
      </c>
      <c r="C35" s="4" t="s">
        <v>44</v>
      </c>
      <c r="D35" s="4" t="s">
        <v>36</v>
      </c>
      <c r="E35" s="4" t="s">
        <v>16</v>
      </c>
      <c r="F35" s="4">
        <v>23</v>
      </c>
      <c r="G35" s="4">
        <v>14</v>
      </c>
      <c r="H35" s="4" t="str">
        <f>IF(F35&lt;G35,"Perlu Restock","Aman")</f>
        <v>Aman</v>
      </c>
      <c r="I35" s="5">
        <v>15000</v>
      </c>
      <c r="J35" s="5">
        <f>F35*I35</f>
        <v>345000</v>
      </c>
    </row>
    <row r="36" spans="1:10" s="4" customFormat="1" x14ac:dyDescent="0.25">
      <c r="A36" s="4" t="s">
        <v>58</v>
      </c>
      <c r="B36" s="4" t="s">
        <v>45</v>
      </c>
      <c r="C36" s="4" t="s">
        <v>46</v>
      </c>
      <c r="D36" s="4" t="s">
        <v>47</v>
      </c>
      <c r="E36" s="4" t="s">
        <v>16</v>
      </c>
      <c r="F36" s="4">
        <v>29</v>
      </c>
      <c r="G36" s="4">
        <v>14</v>
      </c>
      <c r="H36" s="4" t="str">
        <f>IF(F36&lt;G36,"Perlu Restock","Aman")</f>
        <v>Aman</v>
      </c>
      <c r="I36" s="5">
        <v>85000</v>
      </c>
      <c r="J36" s="5">
        <f>F36*I36</f>
        <v>2465000</v>
      </c>
    </row>
    <row r="37" spans="1:10" s="4" customFormat="1" x14ac:dyDescent="0.25">
      <c r="A37" s="4" t="s">
        <v>58</v>
      </c>
      <c r="B37" s="4" t="s">
        <v>48</v>
      </c>
      <c r="C37" s="4" t="s">
        <v>49</v>
      </c>
      <c r="D37" s="4" t="s">
        <v>50</v>
      </c>
      <c r="E37" s="4" t="s">
        <v>16</v>
      </c>
      <c r="F37" s="4">
        <v>19</v>
      </c>
      <c r="G37" s="4">
        <v>17</v>
      </c>
      <c r="H37" s="4" t="str">
        <f>IF(F37&lt;G37,"Perlu Restock","Aman")</f>
        <v>Aman</v>
      </c>
      <c r="I37" s="5">
        <v>130000</v>
      </c>
      <c r="J37" s="5">
        <f>F37*I37</f>
        <v>2470000</v>
      </c>
    </row>
    <row r="38" spans="1:10" s="4" customFormat="1" x14ac:dyDescent="0.25">
      <c r="A38" s="4" t="s">
        <v>58</v>
      </c>
      <c r="B38" s="4" t="s">
        <v>51</v>
      </c>
      <c r="C38" s="4" t="s">
        <v>52</v>
      </c>
      <c r="D38" s="4" t="s">
        <v>50</v>
      </c>
      <c r="E38" s="4" t="s">
        <v>53</v>
      </c>
      <c r="F38" s="4">
        <v>16</v>
      </c>
      <c r="G38" s="4">
        <v>10</v>
      </c>
      <c r="H38" s="4" t="str">
        <f>IF(F38&lt;G38,"Perlu Restock","Aman")</f>
        <v>Aman</v>
      </c>
      <c r="I38" s="5">
        <v>18000</v>
      </c>
      <c r="J38" s="5">
        <f>F38*I38</f>
        <v>288000</v>
      </c>
    </row>
    <row r="39" spans="1:10" s="4" customFormat="1" x14ac:dyDescent="0.25">
      <c r="A39" s="4" t="s">
        <v>58</v>
      </c>
      <c r="B39" s="4" t="s">
        <v>54</v>
      </c>
      <c r="C39" s="4" t="s">
        <v>55</v>
      </c>
      <c r="D39" s="4" t="s">
        <v>47</v>
      </c>
      <c r="E39" s="4" t="s">
        <v>33</v>
      </c>
      <c r="F39" s="4">
        <v>26</v>
      </c>
      <c r="G39" s="4">
        <v>19</v>
      </c>
      <c r="H39" s="4" t="str">
        <f>IF(F39&lt;G39,"Perlu Restock","Aman")</f>
        <v>Aman</v>
      </c>
      <c r="I39" s="5">
        <v>19000</v>
      </c>
      <c r="J39" s="5">
        <f>F39*I39</f>
        <v>494000</v>
      </c>
    </row>
    <row r="40" spans="1:10" s="4" customFormat="1" x14ac:dyDescent="0.25">
      <c r="A40" s="4" t="s">
        <v>58</v>
      </c>
      <c r="B40" s="4" t="s">
        <v>56</v>
      </c>
      <c r="C40" s="4" t="s">
        <v>57</v>
      </c>
      <c r="D40" s="4" t="s">
        <v>32</v>
      </c>
      <c r="E40" s="4" t="s">
        <v>16</v>
      </c>
      <c r="F40" s="4">
        <v>38</v>
      </c>
      <c r="G40" s="4">
        <v>18</v>
      </c>
      <c r="H40" s="4" t="str">
        <f>IF(F40&lt;G40,"Perlu Restock","Aman")</f>
        <v>Aman</v>
      </c>
      <c r="I40" s="5">
        <v>14000</v>
      </c>
      <c r="J40" s="5">
        <f>F40*I40</f>
        <v>532000</v>
      </c>
    </row>
    <row r="41" spans="1:10" s="4" customFormat="1" x14ac:dyDescent="0.25">
      <c r="A41" s="4" t="s">
        <v>59</v>
      </c>
      <c r="B41" s="4" t="s">
        <v>13</v>
      </c>
      <c r="C41" s="4" t="s">
        <v>14</v>
      </c>
      <c r="D41" s="4" t="s">
        <v>15</v>
      </c>
      <c r="E41" s="4" t="s">
        <v>16</v>
      </c>
      <c r="F41" s="4">
        <v>20</v>
      </c>
      <c r="G41" s="4">
        <v>11</v>
      </c>
      <c r="H41" s="4" t="str">
        <f>IF(F41&lt;G41,"Perlu Restock","Aman")</f>
        <v>Aman</v>
      </c>
      <c r="I41" s="5">
        <v>13500</v>
      </c>
      <c r="J41" s="5">
        <f>F41*I41</f>
        <v>270000</v>
      </c>
    </row>
    <row r="42" spans="1:10" s="4" customFormat="1" x14ac:dyDescent="0.25">
      <c r="A42" s="6" t="s">
        <v>59</v>
      </c>
      <c r="B42" s="6" t="s">
        <v>17</v>
      </c>
      <c r="C42" s="6" t="s">
        <v>18</v>
      </c>
      <c r="D42" s="6" t="s">
        <v>19</v>
      </c>
      <c r="E42" s="6" t="s">
        <v>16</v>
      </c>
      <c r="F42" s="6">
        <v>5</v>
      </c>
      <c r="G42" s="6">
        <v>13</v>
      </c>
      <c r="H42" s="6" t="str">
        <f>IF(F42&lt;G42,"Perlu Restock","Aman")</f>
        <v>Perlu Restock</v>
      </c>
      <c r="I42" s="7">
        <v>38000</v>
      </c>
      <c r="J42" s="7">
        <f>F42*I42</f>
        <v>190000</v>
      </c>
    </row>
    <row r="43" spans="1:10" s="4" customFormat="1" x14ac:dyDescent="0.25">
      <c r="A43" s="4" t="s">
        <v>59</v>
      </c>
      <c r="B43" s="4" t="s">
        <v>20</v>
      </c>
      <c r="C43" s="4" t="s">
        <v>21</v>
      </c>
      <c r="D43" s="4" t="s">
        <v>19</v>
      </c>
      <c r="E43" s="4" t="s">
        <v>16</v>
      </c>
      <c r="F43" s="4">
        <v>19</v>
      </c>
      <c r="G43" s="4">
        <v>12</v>
      </c>
      <c r="H43" s="4" t="str">
        <f>IF(F43&lt;G43,"Perlu Restock","Aman")</f>
        <v>Aman</v>
      </c>
      <c r="I43" s="5">
        <v>135000</v>
      </c>
      <c r="J43" s="5">
        <f>F43*I43</f>
        <v>2565000</v>
      </c>
    </row>
    <row r="44" spans="1:10" s="4" customFormat="1" x14ac:dyDescent="0.25">
      <c r="A44" s="4" t="s">
        <v>59</v>
      </c>
      <c r="B44" s="4" t="s">
        <v>22</v>
      </c>
      <c r="C44" s="4" t="s">
        <v>23</v>
      </c>
      <c r="D44" s="4" t="s">
        <v>19</v>
      </c>
      <c r="E44" s="4" t="s">
        <v>16</v>
      </c>
      <c r="F44" s="4">
        <v>16</v>
      </c>
      <c r="G44" s="4">
        <v>12</v>
      </c>
      <c r="H44" s="4" t="str">
        <f>IF(F44&lt;G44,"Perlu Restock","Aman")</f>
        <v>Aman</v>
      </c>
      <c r="I44" s="5">
        <v>95000</v>
      </c>
      <c r="J44" s="5">
        <f>F44*I44</f>
        <v>1520000</v>
      </c>
    </row>
    <row r="45" spans="1:10" s="4" customFormat="1" x14ac:dyDescent="0.25">
      <c r="A45" s="4" t="s">
        <v>59</v>
      </c>
      <c r="B45" s="4" t="s">
        <v>24</v>
      </c>
      <c r="C45" s="4" t="s">
        <v>25</v>
      </c>
      <c r="D45" s="4" t="s">
        <v>19</v>
      </c>
      <c r="E45" s="4" t="s">
        <v>16</v>
      </c>
      <c r="F45" s="4">
        <v>19</v>
      </c>
      <c r="G45" s="4">
        <v>16</v>
      </c>
      <c r="H45" s="4" t="str">
        <f>IF(F45&lt;G45,"Perlu Restock","Aman")</f>
        <v>Aman</v>
      </c>
      <c r="I45" s="5">
        <v>28000</v>
      </c>
      <c r="J45" s="5">
        <f>F45*I45</f>
        <v>532000</v>
      </c>
    </row>
    <row r="46" spans="1:10" s="4" customFormat="1" x14ac:dyDescent="0.25">
      <c r="A46" s="4" t="s">
        <v>59</v>
      </c>
      <c r="B46" s="4" t="s">
        <v>26</v>
      </c>
      <c r="C46" s="4" t="s">
        <v>27</v>
      </c>
      <c r="D46" s="4" t="s">
        <v>15</v>
      </c>
      <c r="E46" s="4" t="s">
        <v>16</v>
      </c>
      <c r="F46" s="4">
        <v>28</v>
      </c>
      <c r="G46" s="4">
        <v>15</v>
      </c>
      <c r="H46" s="4" t="str">
        <f>IF(F46&lt;G46,"Perlu Restock","Aman")</f>
        <v>Aman</v>
      </c>
      <c r="I46" s="5">
        <v>22000</v>
      </c>
      <c r="J46" s="5">
        <f>F46*I46</f>
        <v>616000</v>
      </c>
    </row>
    <row r="47" spans="1:10" s="4" customFormat="1" x14ac:dyDescent="0.25">
      <c r="A47" s="4" t="s">
        <v>59</v>
      </c>
      <c r="B47" s="4" t="s">
        <v>28</v>
      </c>
      <c r="C47" s="4" t="s">
        <v>29</v>
      </c>
      <c r="D47" s="4" t="s">
        <v>15</v>
      </c>
      <c r="E47" s="4" t="s">
        <v>16</v>
      </c>
      <c r="F47" s="4">
        <v>24</v>
      </c>
      <c r="G47" s="4">
        <v>13</v>
      </c>
      <c r="H47" s="4" t="str">
        <f>IF(F47&lt;G47,"Perlu Restock","Aman")</f>
        <v>Aman</v>
      </c>
      <c r="I47" s="5">
        <v>12000</v>
      </c>
      <c r="J47" s="5">
        <f>F47*I47</f>
        <v>288000</v>
      </c>
    </row>
    <row r="48" spans="1:10" s="4" customFormat="1" x14ac:dyDescent="0.25">
      <c r="A48" s="4" t="s">
        <v>59</v>
      </c>
      <c r="B48" s="4" t="s">
        <v>30</v>
      </c>
      <c r="C48" s="4" t="s">
        <v>31</v>
      </c>
      <c r="D48" s="4" t="s">
        <v>32</v>
      </c>
      <c r="E48" s="4" t="s">
        <v>33</v>
      </c>
      <c r="F48" s="4">
        <v>18</v>
      </c>
      <c r="G48" s="4">
        <v>14</v>
      </c>
      <c r="H48" s="4" t="str">
        <f>IF(F48&lt;G48,"Perlu Restock","Aman")</f>
        <v>Aman</v>
      </c>
      <c r="I48" s="5">
        <v>17000</v>
      </c>
      <c r="J48" s="5">
        <f>F48*I48</f>
        <v>306000</v>
      </c>
    </row>
    <row r="49" spans="1:10" s="4" customFormat="1" x14ac:dyDescent="0.25">
      <c r="A49" s="4" t="s">
        <v>59</v>
      </c>
      <c r="B49" s="4" t="s">
        <v>34</v>
      </c>
      <c r="C49" s="4" t="s">
        <v>35</v>
      </c>
      <c r="D49" s="4" t="s">
        <v>36</v>
      </c>
      <c r="E49" s="4" t="s">
        <v>16</v>
      </c>
      <c r="F49" s="4">
        <v>19</v>
      </c>
      <c r="G49" s="4">
        <v>12</v>
      </c>
      <c r="H49" s="4" t="str">
        <f>IF(F49&lt;G49,"Perlu Restock","Aman")</f>
        <v>Aman</v>
      </c>
      <c r="I49" s="5">
        <v>32000</v>
      </c>
      <c r="J49" s="5">
        <f>F49*I49</f>
        <v>608000</v>
      </c>
    </row>
    <row r="50" spans="1:10" s="4" customFormat="1" x14ac:dyDescent="0.25">
      <c r="A50" s="4" t="s">
        <v>59</v>
      </c>
      <c r="B50" s="4" t="s">
        <v>37</v>
      </c>
      <c r="C50" s="4" t="s">
        <v>38</v>
      </c>
      <c r="D50" s="4" t="s">
        <v>36</v>
      </c>
      <c r="E50" s="4" t="s">
        <v>16</v>
      </c>
      <c r="F50" s="4">
        <v>25</v>
      </c>
      <c r="G50" s="4">
        <v>13</v>
      </c>
      <c r="H50" s="4" t="str">
        <f>IF(F50&lt;G50,"Perlu Restock","Aman")</f>
        <v>Aman</v>
      </c>
      <c r="I50" s="5">
        <v>30000</v>
      </c>
      <c r="J50" s="5">
        <f>F50*I50</f>
        <v>750000</v>
      </c>
    </row>
    <row r="51" spans="1:10" s="4" customFormat="1" x14ac:dyDescent="0.25">
      <c r="A51" s="4" t="s">
        <v>59</v>
      </c>
      <c r="B51" s="4" t="s">
        <v>39</v>
      </c>
      <c r="C51" s="4" t="s">
        <v>40</v>
      </c>
      <c r="D51" s="4" t="s">
        <v>36</v>
      </c>
      <c r="E51" s="4" t="s">
        <v>16</v>
      </c>
      <c r="F51" s="4">
        <v>25</v>
      </c>
      <c r="G51" s="4">
        <v>16</v>
      </c>
      <c r="H51" s="4" t="str">
        <f>IF(F51&lt;G51,"Perlu Restock","Aman")</f>
        <v>Aman</v>
      </c>
      <c r="I51" s="5">
        <v>45000</v>
      </c>
      <c r="J51" s="5">
        <f>F51*I51</f>
        <v>1125000</v>
      </c>
    </row>
    <row r="52" spans="1:10" s="4" customFormat="1" x14ac:dyDescent="0.25">
      <c r="A52" s="4" t="s">
        <v>59</v>
      </c>
      <c r="B52" s="4" t="s">
        <v>41</v>
      </c>
      <c r="C52" s="4" t="s">
        <v>42</v>
      </c>
      <c r="D52" s="4" t="s">
        <v>36</v>
      </c>
      <c r="E52" s="4" t="s">
        <v>16</v>
      </c>
      <c r="F52" s="4">
        <v>29</v>
      </c>
      <c r="G52" s="4">
        <v>16</v>
      </c>
      <c r="H52" s="4" t="str">
        <f>IF(F52&lt;G52,"Perlu Restock","Aman")</f>
        <v>Aman</v>
      </c>
      <c r="I52" s="5">
        <v>12000</v>
      </c>
      <c r="J52" s="5">
        <f>F52*I52</f>
        <v>348000</v>
      </c>
    </row>
    <row r="53" spans="1:10" s="4" customFormat="1" x14ac:dyDescent="0.25">
      <c r="A53" s="4" t="s">
        <v>59</v>
      </c>
      <c r="B53" s="4" t="s">
        <v>43</v>
      </c>
      <c r="C53" s="4" t="s">
        <v>44</v>
      </c>
      <c r="D53" s="4" t="s">
        <v>36</v>
      </c>
      <c r="E53" s="4" t="s">
        <v>16</v>
      </c>
      <c r="F53" s="4">
        <v>28</v>
      </c>
      <c r="G53" s="4">
        <v>15</v>
      </c>
      <c r="H53" s="4" t="str">
        <f>IF(F53&lt;G53,"Perlu Restock","Aman")</f>
        <v>Aman</v>
      </c>
      <c r="I53" s="5">
        <v>15000</v>
      </c>
      <c r="J53" s="5">
        <f>F53*I53</f>
        <v>420000</v>
      </c>
    </row>
    <row r="54" spans="1:10" s="4" customFormat="1" x14ac:dyDescent="0.25">
      <c r="A54" s="4" t="s">
        <v>59</v>
      </c>
      <c r="B54" s="4" t="s">
        <v>45</v>
      </c>
      <c r="C54" s="4" t="s">
        <v>46</v>
      </c>
      <c r="D54" s="4" t="s">
        <v>47</v>
      </c>
      <c r="E54" s="4" t="s">
        <v>16</v>
      </c>
      <c r="F54" s="4">
        <v>17</v>
      </c>
      <c r="G54" s="4">
        <v>12</v>
      </c>
      <c r="H54" s="4" t="str">
        <f>IF(F54&lt;G54,"Perlu Restock","Aman")</f>
        <v>Aman</v>
      </c>
      <c r="I54" s="5">
        <v>85000</v>
      </c>
      <c r="J54" s="5">
        <f>F54*I54</f>
        <v>1445000</v>
      </c>
    </row>
    <row r="55" spans="1:10" s="4" customFormat="1" x14ac:dyDescent="0.25">
      <c r="A55" s="4" t="s">
        <v>59</v>
      </c>
      <c r="B55" s="4" t="s">
        <v>48</v>
      </c>
      <c r="C55" s="4" t="s">
        <v>49</v>
      </c>
      <c r="D55" s="4" t="s">
        <v>50</v>
      </c>
      <c r="E55" s="4" t="s">
        <v>16</v>
      </c>
      <c r="F55" s="4">
        <v>27</v>
      </c>
      <c r="G55" s="4">
        <v>15</v>
      </c>
      <c r="H55" s="4" t="str">
        <f>IF(F55&lt;G55,"Perlu Restock","Aman")</f>
        <v>Aman</v>
      </c>
      <c r="I55" s="5">
        <v>130000</v>
      </c>
      <c r="J55" s="5">
        <f>F55*I55</f>
        <v>3510000</v>
      </c>
    </row>
    <row r="56" spans="1:10" s="4" customFormat="1" x14ac:dyDescent="0.25">
      <c r="A56" s="4" t="s">
        <v>59</v>
      </c>
      <c r="B56" s="4" t="s">
        <v>51</v>
      </c>
      <c r="C56" s="4" t="s">
        <v>52</v>
      </c>
      <c r="D56" s="4" t="s">
        <v>50</v>
      </c>
      <c r="E56" s="4" t="s">
        <v>53</v>
      </c>
      <c r="F56" s="4">
        <v>19</v>
      </c>
      <c r="G56" s="4">
        <v>9</v>
      </c>
      <c r="H56" s="4" t="str">
        <f>IF(F56&lt;G56,"Perlu Restock","Aman")</f>
        <v>Aman</v>
      </c>
      <c r="I56" s="5">
        <v>18000</v>
      </c>
      <c r="J56" s="5">
        <f>F56*I56</f>
        <v>342000</v>
      </c>
    </row>
    <row r="57" spans="1:10" s="4" customFormat="1" x14ac:dyDescent="0.25">
      <c r="A57" s="4" t="s">
        <v>59</v>
      </c>
      <c r="B57" s="4" t="s">
        <v>54</v>
      </c>
      <c r="C57" s="4" t="s">
        <v>55</v>
      </c>
      <c r="D57" s="4" t="s">
        <v>47</v>
      </c>
      <c r="E57" s="4" t="s">
        <v>33</v>
      </c>
      <c r="F57" s="4">
        <v>29</v>
      </c>
      <c r="G57" s="4">
        <v>15</v>
      </c>
      <c r="H57" s="4" t="str">
        <f>IF(F57&lt;G57,"Perlu Restock","Aman")</f>
        <v>Aman</v>
      </c>
      <c r="I57" s="5">
        <v>19000</v>
      </c>
      <c r="J57" s="5">
        <f>F57*I57</f>
        <v>551000</v>
      </c>
    </row>
    <row r="58" spans="1:10" s="4" customFormat="1" x14ac:dyDescent="0.25">
      <c r="A58" s="4" t="s">
        <v>59</v>
      </c>
      <c r="B58" s="4" t="s">
        <v>56</v>
      </c>
      <c r="C58" s="4" t="s">
        <v>57</v>
      </c>
      <c r="D58" s="4" t="s">
        <v>32</v>
      </c>
      <c r="E58" s="4" t="s">
        <v>16</v>
      </c>
      <c r="F58" s="4">
        <v>20</v>
      </c>
      <c r="G58" s="4">
        <v>13</v>
      </c>
      <c r="H58" s="4" t="str">
        <f>IF(F58&lt;G58,"Perlu Restock","Aman")</f>
        <v>Aman</v>
      </c>
      <c r="I58" s="5">
        <v>14000</v>
      </c>
      <c r="J58" s="5">
        <f>F58*I58</f>
        <v>280000</v>
      </c>
    </row>
    <row r="59" spans="1:10" s="4" customFormat="1" x14ac:dyDescent="0.25">
      <c r="A59" s="4" t="s">
        <v>60</v>
      </c>
      <c r="B59" s="4" t="s">
        <v>13</v>
      </c>
      <c r="C59" s="4" t="s">
        <v>14</v>
      </c>
      <c r="D59" s="4" t="s">
        <v>15</v>
      </c>
      <c r="E59" s="4" t="s">
        <v>16</v>
      </c>
      <c r="F59" s="4">
        <v>23</v>
      </c>
      <c r="G59" s="4">
        <v>13</v>
      </c>
      <c r="H59" s="4" t="str">
        <f>IF(F59&lt;G59,"Perlu Restock","Aman")</f>
        <v>Aman</v>
      </c>
      <c r="I59" s="5">
        <v>13500</v>
      </c>
      <c r="J59" s="5">
        <f>F59*I59</f>
        <v>310500</v>
      </c>
    </row>
    <row r="60" spans="1:10" s="4" customFormat="1" x14ac:dyDescent="0.25">
      <c r="A60" s="4" t="s">
        <v>60</v>
      </c>
      <c r="B60" s="4" t="s">
        <v>17</v>
      </c>
      <c r="C60" s="4" t="s">
        <v>18</v>
      </c>
      <c r="D60" s="4" t="s">
        <v>19</v>
      </c>
      <c r="E60" s="4" t="s">
        <v>16</v>
      </c>
      <c r="F60" s="4">
        <v>21</v>
      </c>
      <c r="G60" s="4">
        <v>11</v>
      </c>
      <c r="H60" s="4" t="str">
        <f>IF(F60&lt;G60,"Perlu Restock","Aman")</f>
        <v>Aman</v>
      </c>
      <c r="I60" s="5">
        <v>38000</v>
      </c>
      <c r="J60" s="5">
        <f>F60*I60</f>
        <v>798000</v>
      </c>
    </row>
    <row r="61" spans="1:10" s="4" customFormat="1" x14ac:dyDescent="0.25">
      <c r="A61" s="4" t="s">
        <v>60</v>
      </c>
      <c r="B61" s="4" t="s">
        <v>20</v>
      </c>
      <c r="C61" s="4" t="s">
        <v>21</v>
      </c>
      <c r="D61" s="4" t="s">
        <v>19</v>
      </c>
      <c r="E61" s="4" t="s">
        <v>16</v>
      </c>
      <c r="F61" s="4">
        <v>22</v>
      </c>
      <c r="G61" s="4">
        <v>14</v>
      </c>
      <c r="H61" s="4" t="str">
        <f>IF(F61&lt;G61,"Perlu Restock","Aman")</f>
        <v>Aman</v>
      </c>
      <c r="I61" s="5">
        <v>135000</v>
      </c>
      <c r="J61" s="5">
        <f>F61*I61</f>
        <v>2970000</v>
      </c>
    </row>
    <row r="62" spans="1:10" s="4" customFormat="1" x14ac:dyDescent="0.25">
      <c r="A62" s="4" t="s">
        <v>60</v>
      </c>
      <c r="B62" s="4" t="s">
        <v>22</v>
      </c>
      <c r="C62" s="4" t="s">
        <v>23</v>
      </c>
      <c r="D62" s="4" t="s">
        <v>19</v>
      </c>
      <c r="E62" s="4" t="s">
        <v>16</v>
      </c>
      <c r="F62" s="4">
        <v>26</v>
      </c>
      <c r="G62" s="4">
        <v>15</v>
      </c>
      <c r="H62" s="4" t="str">
        <f>IF(F62&lt;G62,"Perlu Restock","Aman")</f>
        <v>Aman</v>
      </c>
      <c r="I62" s="5">
        <v>95000</v>
      </c>
      <c r="J62" s="5">
        <f>F62*I62</f>
        <v>2470000</v>
      </c>
    </row>
    <row r="63" spans="1:10" s="4" customFormat="1" x14ac:dyDescent="0.25">
      <c r="A63" s="4" t="s">
        <v>60</v>
      </c>
      <c r="B63" s="4" t="s">
        <v>24</v>
      </c>
      <c r="C63" s="4" t="s">
        <v>25</v>
      </c>
      <c r="D63" s="4" t="s">
        <v>19</v>
      </c>
      <c r="E63" s="4" t="s">
        <v>16</v>
      </c>
      <c r="F63" s="4">
        <v>21</v>
      </c>
      <c r="G63" s="4">
        <v>14</v>
      </c>
      <c r="H63" s="4" t="str">
        <f>IF(F63&lt;G63,"Perlu Restock","Aman")</f>
        <v>Aman</v>
      </c>
      <c r="I63" s="5">
        <v>28000</v>
      </c>
      <c r="J63" s="5">
        <f>F63*I63</f>
        <v>588000</v>
      </c>
    </row>
    <row r="64" spans="1:10" s="4" customFormat="1" x14ac:dyDescent="0.25">
      <c r="A64" s="4" t="s">
        <v>60</v>
      </c>
      <c r="B64" s="4" t="s">
        <v>26</v>
      </c>
      <c r="C64" s="4" t="s">
        <v>27</v>
      </c>
      <c r="D64" s="4" t="s">
        <v>15</v>
      </c>
      <c r="E64" s="4" t="s">
        <v>16</v>
      </c>
      <c r="F64" s="4">
        <v>17</v>
      </c>
      <c r="G64" s="4">
        <v>13</v>
      </c>
      <c r="H64" s="4" t="str">
        <f>IF(F64&lt;G64,"Perlu Restock","Aman")</f>
        <v>Aman</v>
      </c>
      <c r="I64" s="5">
        <v>22000</v>
      </c>
      <c r="J64" s="5">
        <f>F64*I64</f>
        <v>374000</v>
      </c>
    </row>
    <row r="65" spans="1:10" s="4" customFormat="1" x14ac:dyDescent="0.25">
      <c r="A65" s="4" t="s">
        <v>60</v>
      </c>
      <c r="B65" s="4" t="s">
        <v>28</v>
      </c>
      <c r="C65" s="4" t="s">
        <v>29</v>
      </c>
      <c r="D65" s="4" t="s">
        <v>15</v>
      </c>
      <c r="E65" s="4" t="s">
        <v>16</v>
      </c>
      <c r="F65" s="4">
        <v>19</v>
      </c>
      <c r="G65" s="4">
        <v>13</v>
      </c>
      <c r="H65" s="4" t="str">
        <f>IF(F65&lt;G65,"Perlu Restock","Aman")</f>
        <v>Aman</v>
      </c>
      <c r="I65" s="5">
        <v>12000</v>
      </c>
      <c r="J65" s="5">
        <f>F65*I65</f>
        <v>228000</v>
      </c>
    </row>
    <row r="66" spans="1:10" s="4" customFormat="1" x14ac:dyDescent="0.25">
      <c r="A66" s="4" t="s">
        <v>60</v>
      </c>
      <c r="B66" s="4" t="s">
        <v>30</v>
      </c>
      <c r="C66" s="4" t="s">
        <v>31</v>
      </c>
      <c r="D66" s="4" t="s">
        <v>32</v>
      </c>
      <c r="E66" s="4" t="s">
        <v>33</v>
      </c>
      <c r="F66" s="4">
        <v>21</v>
      </c>
      <c r="G66" s="4">
        <v>14</v>
      </c>
      <c r="H66" s="4" t="str">
        <f>IF(F66&lt;G66,"Perlu Restock","Aman")</f>
        <v>Aman</v>
      </c>
      <c r="I66" s="5">
        <v>17000</v>
      </c>
      <c r="J66" s="5">
        <f>F66*I66</f>
        <v>357000</v>
      </c>
    </row>
    <row r="67" spans="1:10" s="4" customFormat="1" x14ac:dyDescent="0.25">
      <c r="A67" s="4" t="s">
        <v>60</v>
      </c>
      <c r="B67" s="4" t="s">
        <v>34</v>
      </c>
      <c r="C67" s="4" t="s">
        <v>35</v>
      </c>
      <c r="D67" s="4" t="s">
        <v>36</v>
      </c>
      <c r="E67" s="4" t="s">
        <v>16</v>
      </c>
      <c r="F67" s="4">
        <v>22</v>
      </c>
      <c r="G67" s="4">
        <v>12</v>
      </c>
      <c r="H67" s="4" t="str">
        <f>IF(F67&lt;G67,"Perlu Restock","Aman")</f>
        <v>Aman</v>
      </c>
      <c r="I67" s="5">
        <v>32000</v>
      </c>
      <c r="J67" s="5">
        <f>F67*I67</f>
        <v>704000</v>
      </c>
    </row>
    <row r="68" spans="1:10" s="4" customFormat="1" x14ac:dyDescent="0.25">
      <c r="A68" s="4" t="s">
        <v>60</v>
      </c>
      <c r="B68" s="4" t="s">
        <v>37</v>
      </c>
      <c r="C68" s="4" t="s">
        <v>38</v>
      </c>
      <c r="D68" s="4" t="s">
        <v>36</v>
      </c>
      <c r="E68" s="4" t="s">
        <v>16</v>
      </c>
      <c r="F68" s="4">
        <v>17</v>
      </c>
      <c r="G68" s="4">
        <v>11</v>
      </c>
      <c r="H68" s="4" t="str">
        <f>IF(F68&lt;G68,"Perlu Restock","Aman")</f>
        <v>Aman</v>
      </c>
      <c r="I68" s="5">
        <v>30000</v>
      </c>
      <c r="J68" s="5">
        <f>F68*I68</f>
        <v>510000</v>
      </c>
    </row>
    <row r="69" spans="1:10" s="4" customFormat="1" x14ac:dyDescent="0.25">
      <c r="A69" s="4" t="s">
        <v>60</v>
      </c>
      <c r="B69" s="4" t="s">
        <v>39</v>
      </c>
      <c r="C69" s="4" t="s">
        <v>40</v>
      </c>
      <c r="D69" s="4" t="s">
        <v>36</v>
      </c>
      <c r="E69" s="4" t="s">
        <v>16</v>
      </c>
      <c r="F69" s="4">
        <v>15</v>
      </c>
      <c r="G69" s="4">
        <v>14</v>
      </c>
      <c r="H69" s="4" t="str">
        <f>IF(F69&lt;G69,"Perlu Restock","Aman")</f>
        <v>Aman</v>
      </c>
      <c r="I69" s="5">
        <v>45000</v>
      </c>
      <c r="J69" s="5">
        <f>F69*I69</f>
        <v>675000</v>
      </c>
    </row>
    <row r="70" spans="1:10" s="4" customFormat="1" x14ac:dyDescent="0.25">
      <c r="A70" s="4" t="s">
        <v>60</v>
      </c>
      <c r="B70" s="4" t="s">
        <v>41</v>
      </c>
      <c r="C70" s="4" t="s">
        <v>42</v>
      </c>
      <c r="D70" s="4" t="s">
        <v>36</v>
      </c>
      <c r="E70" s="4" t="s">
        <v>16</v>
      </c>
      <c r="F70" s="4">
        <v>15</v>
      </c>
      <c r="G70" s="4">
        <v>14</v>
      </c>
      <c r="H70" s="4" t="str">
        <f>IF(F70&lt;G70,"Perlu Restock","Aman")</f>
        <v>Aman</v>
      </c>
      <c r="I70" s="5">
        <v>12000</v>
      </c>
      <c r="J70" s="5">
        <f>F70*I70</f>
        <v>180000</v>
      </c>
    </row>
    <row r="71" spans="1:10" s="4" customFormat="1" x14ac:dyDescent="0.25">
      <c r="A71" s="4" t="s">
        <v>60</v>
      </c>
      <c r="B71" s="4" t="s">
        <v>43</v>
      </c>
      <c r="C71" s="4" t="s">
        <v>44</v>
      </c>
      <c r="D71" s="4" t="s">
        <v>36</v>
      </c>
      <c r="E71" s="4" t="s">
        <v>16</v>
      </c>
      <c r="F71" s="4">
        <v>17</v>
      </c>
      <c r="G71" s="4">
        <v>14</v>
      </c>
      <c r="H71" s="4" t="str">
        <f>IF(F71&lt;G71,"Perlu Restock","Aman")</f>
        <v>Aman</v>
      </c>
      <c r="I71" s="5">
        <v>15000</v>
      </c>
      <c r="J71" s="5">
        <f>F71*I71</f>
        <v>255000</v>
      </c>
    </row>
    <row r="72" spans="1:10" s="4" customFormat="1" x14ac:dyDescent="0.25">
      <c r="A72" s="6" t="s">
        <v>60</v>
      </c>
      <c r="B72" s="6" t="s">
        <v>45</v>
      </c>
      <c r="C72" s="6" t="s">
        <v>46</v>
      </c>
      <c r="D72" s="6" t="s">
        <v>47</v>
      </c>
      <c r="E72" s="6" t="s">
        <v>16</v>
      </c>
      <c r="F72" s="6">
        <v>4</v>
      </c>
      <c r="G72" s="6">
        <v>10</v>
      </c>
      <c r="H72" s="6" t="str">
        <f>IF(F72&lt;G72,"Perlu Restock","Aman")</f>
        <v>Perlu Restock</v>
      </c>
      <c r="I72" s="7">
        <v>85000</v>
      </c>
      <c r="J72" s="7">
        <f>F72*I72</f>
        <v>340000</v>
      </c>
    </row>
    <row r="73" spans="1:10" s="4" customFormat="1" x14ac:dyDescent="0.25">
      <c r="A73" s="4" t="s">
        <v>60</v>
      </c>
      <c r="B73" s="4" t="s">
        <v>48</v>
      </c>
      <c r="C73" s="4" t="s">
        <v>49</v>
      </c>
      <c r="D73" s="4" t="s">
        <v>50</v>
      </c>
      <c r="E73" s="4" t="s">
        <v>16</v>
      </c>
      <c r="F73" s="4">
        <v>19</v>
      </c>
      <c r="G73" s="4">
        <v>11</v>
      </c>
      <c r="H73" s="4" t="str">
        <f>IF(F73&lt;G73,"Perlu Restock","Aman")</f>
        <v>Aman</v>
      </c>
      <c r="I73" s="5">
        <v>130000</v>
      </c>
      <c r="J73" s="5">
        <f>F73*I73</f>
        <v>2470000</v>
      </c>
    </row>
    <row r="74" spans="1:10" s="4" customFormat="1" x14ac:dyDescent="0.25">
      <c r="A74" s="4" t="s">
        <v>60</v>
      </c>
      <c r="B74" s="4" t="s">
        <v>51</v>
      </c>
      <c r="C74" s="4" t="s">
        <v>52</v>
      </c>
      <c r="D74" s="4" t="s">
        <v>50</v>
      </c>
      <c r="E74" s="4" t="s">
        <v>53</v>
      </c>
      <c r="F74" s="4">
        <v>5</v>
      </c>
      <c r="G74" s="4">
        <v>5</v>
      </c>
      <c r="H74" s="4" t="str">
        <f>IF(F74&lt;G74,"Perlu Restock","Aman")</f>
        <v>Aman</v>
      </c>
      <c r="I74" s="5">
        <v>18000</v>
      </c>
      <c r="J74" s="5">
        <f>F74*I74</f>
        <v>90000</v>
      </c>
    </row>
    <row r="75" spans="1:10" s="4" customFormat="1" x14ac:dyDescent="0.25">
      <c r="A75" s="4" t="s">
        <v>60</v>
      </c>
      <c r="B75" s="4" t="s">
        <v>54</v>
      </c>
      <c r="C75" s="4" t="s">
        <v>55</v>
      </c>
      <c r="D75" s="4" t="s">
        <v>47</v>
      </c>
      <c r="E75" s="4" t="s">
        <v>33</v>
      </c>
      <c r="F75" s="4">
        <v>29</v>
      </c>
      <c r="G75" s="4">
        <v>14</v>
      </c>
      <c r="H75" s="4" t="str">
        <f>IF(F75&lt;G75,"Perlu Restock","Aman")</f>
        <v>Aman</v>
      </c>
      <c r="I75" s="5">
        <v>19000</v>
      </c>
      <c r="J75" s="5">
        <f>F75*I75</f>
        <v>551000</v>
      </c>
    </row>
    <row r="76" spans="1:10" s="4" customFormat="1" x14ac:dyDescent="0.25">
      <c r="A76" s="4" t="s">
        <v>60</v>
      </c>
      <c r="B76" s="4" t="s">
        <v>56</v>
      </c>
      <c r="C76" s="4" t="s">
        <v>57</v>
      </c>
      <c r="D76" s="4" t="s">
        <v>32</v>
      </c>
      <c r="E76" s="4" t="s">
        <v>16</v>
      </c>
      <c r="F76" s="4">
        <v>17</v>
      </c>
      <c r="G76" s="4">
        <v>11</v>
      </c>
      <c r="H76" s="4" t="str">
        <f>IF(F76&lt;G76,"Perlu Restock","Aman")</f>
        <v>Aman</v>
      </c>
      <c r="I76" s="5">
        <v>14000</v>
      </c>
      <c r="J76" s="5">
        <f>F76*I76</f>
        <v>238000</v>
      </c>
    </row>
    <row r="77" spans="1:10" s="4" customFormat="1" x14ac:dyDescent="0.25">
      <c r="A77" s="4" t="s">
        <v>61</v>
      </c>
      <c r="B77" s="4" t="s">
        <v>13</v>
      </c>
      <c r="C77" s="4" t="s">
        <v>14</v>
      </c>
      <c r="D77" s="4" t="s">
        <v>15</v>
      </c>
      <c r="E77" s="4" t="s">
        <v>16</v>
      </c>
      <c r="F77" s="4">
        <v>17</v>
      </c>
      <c r="G77" s="4">
        <v>9</v>
      </c>
      <c r="H77" s="4" t="str">
        <f>IF(F77&lt;G77,"Perlu Restock","Aman")</f>
        <v>Aman</v>
      </c>
      <c r="I77" s="5">
        <v>13500</v>
      </c>
      <c r="J77" s="5">
        <f>F77*I77</f>
        <v>229500</v>
      </c>
    </row>
    <row r="78" spans="1:10" s="4" customFormat="1" x14ac:dyDescent="0.25">
      <c r="A78" s="6" t="s">
        <v>61</v>
      </c>
      <c r="B78" s="6" t="s">
        <v>17</v>
      </c>
      <c r="C78" s="6" t="s">
        <v>18</v>
      </c>
      <c r="D78" s="6" t="s">
        <v>19</v>
      </c>
      <c r="E78" s="6" t="s">
        <v>16</v>
      </c>
      <c r="F78" s="6">
        <v>5</v>
      </c>
      <c r="G78" s="6">
        <v>8</v>
      </c>
      <c r="H78" s="6" t="str">
        <f>IF(F78&lt;G78,"Perlu Restock","Aman")</f>
        <v>Perlu Restock</v>
      </c>
      <c r="I78" s="7">
        <v>38000</v>
      </c>
      <c r="J78" s="7">
        <f>F78*I78</f>
        <v>190000</v>
      </c>
    </row>
    <row r="79" spans="1:10" s="4" customFormat="1" x14ac:dyDescent="0.25">
      <c r="A79" s="4" t="s">
        <v>61</v>
      </c>
      <c r="B79" s="4" t="s">
        <v>20</v>
      </c>
      <c r="C79" s="4" t="s">
        <v>21</v>
      </c>
      <c r="D79" s="4" t="s">
        <v>19</v>
      </c>
      <c r="E79" s="4" t="s">
        <v>16</v>
      </c>
      <c r="F79" s="4">
        <v>12</v>
      </c>
      <c r="G79" s="4">
        <v>8</v>
      </c>
      <c r="H79" s="4" t="str">
        <f>IF(F79&lt;G79,"Perlu Restock","Aman")</f>
        <v>Aman</v>
      </c>
      <c r="I79" s="5">
        <v>135000</v>
      </c>
      <c r="J79" s="5">
        <f>F79*I79</f>
        <v>1620000</v>
      </c>
    </row>
    <row r="80" spans="1:10" s="4" customFormat="1" x14ac:dyDescent="0.25">
      <c r="A80" s="4" t="s">
        <v>61</v>
      </c>
      <c r="B80" s="4" t="s">
        <v>22</v>
      </c>
      <c r="C80" s="4" t="s">
        <v>23</v>
      </c>
      <c r="D80" s="4" t="s">
        <v>19</v>
      </c>
      <c r="E80" s="4" t="s">
        <v>16</v>
      </c>
      <c r="F80" s="4">
        <v>21</v>
      </c>
      <c r="G80" s="4">
        <v>10</v>
      </c>
      <c r="H80" s="4" t="str">
        <f>IF(F80&lt;G80,"Perlu Restock","Aman")</f>
        <v>Aman</v>
      </c>
      <c r="I80" s="5">
        <v>95000</v>
      </c>
      <c r="J80" s="5">
        <f>F80*I80</f>
        <v>1995000</v>
      </c>
    </row>
    <row r="81" spans="1:10" s="4" customFormat="1" x14ac:dyDescent="0.25">
      <c r="A81" s="4" t="s">
        <v>61</v>
      </c>
      <c r="B81" s="4" t="s">
        <v>24</v>
      </c>
      <c r="C81" s="4" t="s">
        <v>25</v>
      </c>
      <c r="D81" s="4" t="s">
        <v>19</v>
      </c>
      <c r="E81" s="4" t="s">
        <v>16</v>
      </c>
      <c r="F81" s="4">
        <v>21</v>
      </c>
      <c r="G81" s="4">
        <v>10</v>
      </c>
      <c r="H81" s="4" t="str">
        <f>IF(F81&lt;G81,"Perlu Restock","Aman")</f>
        <v>Aman</v>
      </c>
      <c r="I81" s="5">
        <v>28000</v>
      </c>
      <c r="J81" s="5">
        <f>F81*I81</f>
        <v>588000</v>
      </c>
    </row>
    <row r="82" spans="1:10" s="4" customFormat="1" x14ac:dyDescent="0.25">
      <c r="A82" s="4" t="s">
        <v>61</v>
      </c>
      <c r="B82" s="4" t="s">
        <v>26</v>
      </c>
      <c r="C82" s="4" t="s">
        <v>27</v>
      </c>
      <c r="D82" s="4" t="s">
        <v>15</v>
      </c>
      <c r="E82" s="4" t="s">
        <v>16</v>
      </c>
      <c r="F82" s="4">
        <v>14</v>
      </c>
      <c r="G82" s="4">
        <v>11</v>
      </c>
      <c r="H82" s="4" t="str">
        <f>IF(F82&lt;G82,"Perlu Restock","Aman")</f>
        <v>Aman</v>
      </c>
      <c r="I82" s="5">
        <v>22000</v>
      </c>
      <c r="J82" s="5">
        <f>F82*I82</f>
        <v>308000</v>
      </c>
    </row>
    <row r="83" spans="1:10" s="4" customFormat="1" x14ac:dyDescent="0.25">
      <c r="A83" s="6" t="s">
        <v>61</v>
      </c>
      <c r="B83" s="6" t="s">
        <v>28</v>
      </c>
      <c r="C83" s="6" t="s">
        <v>29</v>
      </c>
      <c r="D83" s="6" t="s">
        <v>15</v>
      </c>
      <c r="E83" s="6" t="s">
        <v>16</v>
      </c>
      <c r="F83" s="6">
        <v>6</v>
      </c>
      <c r="G83" s="6">
        <v>10</v>
      </c>
      <c r="H83" s="6" t="str">
        <f>IF(F83&lt;G83,"Perlu Restock","Aman")</f>
        <v>Perlu Restock</v>
      </c>
      <c r="I83" s="7">
        <v>12000</v>
      </c>
      <c r="J83" s="7">
        <f>F83*I83</f>
        <v>72000</v>
      </c>
    </row>
    <row r="84" spans="1:10" s="4" customFormat="1" x14ac:dyDescent="0.25">
      <c r="A84" s="4" t="s">
        <v>61</v>
      </c>
      <c r="B84" s="4" t="s">
        <v>30</v>
      </c>
      <c r="C84" s="4" t="s">
        <v>31</v>
      </c>
      <c r="D84" s="4" t="s">
        <v>32</v>
      </c>
      <c r="E84" s="4" t="s">
        <v>33</v>
      </c>
      <c r="F84" s="4">
        <v>15</v>
      </c>
      <c r="G84" s="4">
        <v>9</v>
      </c>
      <c r="H84" s="4" t="str">
        <f>IF(F84&lt;G84,"Perlu Restock","Aman")</f>
        <v>Aman</v>
      </c>
      <c r="I84" s="5">
        <v>17000</v>
      </c>
      <c r="J84" s="5">
        <f>F84*I84</f>
        <v>255000</v>
      </c>
    </row>
    <row r="85" spans="1:10" s="4" customFormat="1" x14ac:dyDescent="0.25">
      <c r="A85" s="4" t="s">
        <v>61</v>
      </c>
      <c r="B85" s="4" t="s">
        <v>34</v>
      </c>
      <c r="C85" s="4" t="s">
        <v>35</v>
      </c>
      <c r="D85" s="4" t="s">
        <v>36</v>
      </c>
      <c r="E85" s="4" t="s">
        <v>16</v>
      </c>
      <c r="F85" s="4">
        <v>16</v>
      </c>
      <c r="G85" s="4">
        <v>9</v>
      </c>
      <c r="H85" s="4" t="str">
        <f>IF(F85&lt;G85,"Perlu Restock","Aman")</f>
        <v>Aman</v>
      </c>
      <c r="I85" s="5">
        <v>32000</v>
      </c>
      <c r="J85" s="5">
        <f>F85*I85</f>
        <v>512000</v>
      </c>
    </row>
    <row r="86" spans="1:10" s="4" customFormat="1" x14ac:dyDescent="0.25">
      <c r="A86" s="4" t="s">
        <v>61</v>
      </c>
      <c r="B86" s="4" t="s">
        <v>37</v>
      </c>
      <c r="C86" s="4" t="s">
        <v>38</v>
      </c>
      <c r="D86" s="4" t="s">
        <v>36</v>
      </c>
      <c r="E86" s="4" t="s">
        <v>16</v>
      </c>
      <c r="F86" s="4">
        <v>15</v>
      </c>
      <c r="G86" s="4">
        <v>9</v>
      </c>
      <c r="H86" s="4" t="str">
        <f>IF(F86&lt;G86,"Perlu Restock","Aman")</f>
        <v>Aman</v>
      </c>
      <c r="I86" s="5">
        <v>30000</v>
      </c>
      <c r="J86" s="5">
        <f>F86*I86</f>
        <v>450000</v>
      </c>
    </row>
    <row r="87" spans="1:10" s="4" customFormat="1" x14ac:dyDescent="0.25">
      <c r="A87" s="4" t="s">
        <v>61</v>
      </c>
      <c r="B87" s="4" t="s">
        <v>39</v>
      </c>
      <c r="C87" s="4" t="s">
        <v>40</v>
      </c>
      <c r="D87" s="4" t="s">
        <v>36</v>
      </c>
      <c r="E87" s="4" t="s">
        <v>16</v>
      </c>
      <c r="F87" s="4">
        <v>22</v>
      </c>
      <c r="G87" s="4">
        <v>10</v>
      </c>
      <c r="H87" s="4" t="str">
        <f>IF(F87&lt;G87,"Perlu Restock","Aman")</f>
        <v>Aman</v>
      </c>
      <c r="I87" s="5">
        <v>45000</v>
      </c>
      <c r="J87" s="5">
        <f>F87*I87</f>
        <v>990000</v>
      </c>
    </row>
    <row r="88" spans="1:10" s="4" customFormat="1" x14ac:dyDescent="0.25">
      <c r="A88" s="4" t="s">
        <v>61</v>
      </c>
      <c r="B88" s="4" t="s">
        <v>41</v>
      </c>
      <c r="C88" s="4" t="s">
        <v>42</v>
      </c>
      <c r="D88" s="4" t="s">
        <v>36</v>
      </c>
      <c r="E88" s="4" t="s">
        <v>16</v>
      </c>
      <c r="F88" s="4">
        <v>13</v>
      </c>
      <c r="G88" s="4">
        <v>8</v>
      </c>
      <c r="H88" s="4" t="str">
        <f>IF(F88&lt;G88,"Perlu Restock","Aman")</f>
        <v>Aman</v>
      </c>
      <c r="I88" s="5">
        <v>12000</v>
      </c>
      <c r="J88" s="5">
        <f>F88*I88</f>
        <v>156000</v>
      </c>
    </row>
    <row r="89" spans="1:10" s="4" customFormat="1" x14ac:dyDescent="0.25">
      <c r="A89" s="4" t="s">
        <v>61</v>
      </c>
      <c r="B89" s="4" t="s">
        <v>43</v>
      </c>
      <c r="C89" s="4" t="s">
        <v>44</v>
      </c>
      <c r="D89" s="4" t="s">
        <v>36</v>
      </c>
      <c r="E89" s="4" t="s">
        <v>16</v>
      </c>
      <c r="F89" s="4">
        <v>13</v>
      </c>
      <c r="G89" s="4">
        <v>9</v>
      </c>
      <c r="H89" s="4" t="str">
        <f>IF(F89&lt;G89,"Perlu Restock","Aman")</f>
        <v>Aman</v>
      </c>
      <c r="I89" s="5">
        <v>15000</v>
      </c>
      <c r="J89" s="5">
        <f>F89*I89</f>
        <v>195000</v>
      </c>
    </row>
    <row r="90" spans="1:10" s="4" customFormat="1" x14ac:dyDescent="0.25">
      <c r="A90" s="6" t="s">
        <v>61</v>
      </c>
      <c r="B90" s="6" t="s">
        <v>45</v>
      </c>
      <c r="C90" s="6" t="s">
        <v>46</v>
      </c>
      <c r="D90" s="6" t="s">
        <v>47</v>
      </c>
      <c r="E90" s="6" t="s">
        <v>16</v>
      </c>
      <c r="F90" s="6">
        <v>4</v>
      </c>
      <c r="G90" s="6">
        <v>9</v>
      </c>
      <c r="H90" s="6" t="str">
        <f>IF(F90&lt;G90,"Perlu Restock","Aman")</f>
        <v>Perlu Restock</v>
      </c>
      <c r="I90" s="7">
        <v>85000</v>
      </c>
      <c r="J90" s="7">
        <f>F90*I90</f>
        <v>340000</v>
      </c>
    </row>
    <row r="91" spans="1:10" s="4" customFormat="1" x14ac:dyDescent="0.25">
      <c r="A91" s="4" t="s">
        <v>61</v>
      </c>
      <c r="B91" s="4" t="s">
        <v>48</v>
      </c>
      <c r="C91" s="4" t="s">
        <v>49</v>
      </c>
      <c r="D91" s="4" t="s">
        <v>50</v>
      </c>
      <c r="E91" s="4" t="s">
        <v>16</v>
      </c>
      <c r="F91" s="4">
        <v>17</v>
      </c>
      <c r="G91" s="4">
        <v>10</v>
      </c>
      <c r="H91" s="4" t="str">
        <f>IF(F91&lt;G91,"Perlu Restock","Aman")</f>
        <v>Aman</v>
      </c>
      <c r="I91" s="5">
        <v>130000</v>
      </c>
      <c r="J91" s="5">
        <f>F91*I91</f>
        <v>2210000</v>
      </c>
    </row>
    <row r="92" spans="1:10" s="4" customFormat="1" x14ac:dyDescent="0.25">
      <c r="A92" s="4" t="s">
        <v>61</v>
      </c>
      <c r="B92" s="4" t="s">
        <v>51</v>
      </c>
      <c r="C92" s="4" t="s">
        <v>52</v>
      </c>
      <c r="D92" s="4" t="s">
        <v>50</v>
      </c>
      <c r="E92" s="4" t="s">
        <v>53</v>
      </c>
      <c r="F92" s="4">
        <v>7</v>
      </c>
      <c r="G92" s="4">
        <v>4</v>
      </c>
      <c r="H92" s="4" t="str">
        <f>IF(F92&lt;G92,"Perlu Restock","Aman")</f>
        <v>Aman</v>
      </c>
      <c r="I92" s="5">
        <v>18000</v>
      </c>
      <c r="J92" s="5">
        <f>F92*I92</f>
        <v>126000</v>
      </c>
    </row>
    <row r="93" spans="1:10" s="4" customFormat="1" x14ac:dyDescent="0.25">
      <c r="A93" s="6" t="s">
        <v>61</v>
      </c>
      <c r="B93" s="6" t="s">
        <v>54</v>
      </c>
      <c r="C93" s="6" t="s">
        <v>55</v>
      </c>
      <c r="D93" s="6" t="s">
        <v>47</v>
      </c>
      <c r="E93" s="6" t="s">
        <v>33</v>
      </c>
      <c r="F93" s="6">
        <v>8</v>
      </c>
      <c r="G93" s="6">
        <v>10</v>
      </c>
      <c r="H93" s="6" t="str">
        <f>IF(F93&lt;G93,"Perlu Restock","Aman")</f>
        <v>Perlu Restock</v>
      </c>
      <c r="I93" s="7">
        <v>19000</v>
      </c>
      <c r="J93" s="7">
        <f>F93*I93</f>
        <v>152000</v>
      </c>
    </row>
    <row r="94" spans="1:10" s="4" customFormat="1" x14ac:dyDescent="0.25">
      <c r="A94" s="4" t="s">
        <v>61</v>
      </c>
      <c r="B94" s="4" t="s">
        <v>56</v>
      </c>
      <c r="C94" s="4" t="s">
        <v>57</v>
      </c>
      <c r="D94" s="4" t="s">
        <v>32</v>
      </c>
      <c r="E94" s="4" t="s">
        <v>16</v>
      </c>
      <c r="F94" s="4">
        <v>13</v>
      </c>
      <c r="G94" s="4">
        <v>9</v>
      </c>
      <c r="H94" s="4" t="str">
        <f>IF(F94&lt;G94,"Perlu Restock","Aman")</f>
        <v>Aman</v>
      </c>
      <c r="I94" s="5">
        <v>14000</v>
      </c>
      <c r="J94" s="5">
        <f>F94*I94</f>
        <v>182000</v>
      </c>
    </row>
  </sheetData>
  <autoFilter ref="A4:J9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16" customWidth="1"/>
    <col min="3" max="3" width="22" customWidth="1"/>
  </cols>
  <sheetData>
    <row r="1" ht="24" customHeight="1" spans="1:3" x14ac:dyDescent="0.25">
      <c r="A1" s="1" t="s">
        <v>62</v>
      </c>
      <c r="B1" s="1"/>
      <c r="C1" s="1"/>
    </row>
    <row r="2" spans="1:3" x14ac:dyDescent="0.25">
      <c r="A2" s="2" t="s">
        <v>63</v>
      </c>
      <c r="B2" s="2"/>
      <c r="C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f>COUNTA('Detail per Cabang'!C5:C94)</f>
        <v>90</v>
      </c>
      <c r="C5" s="8">
        <f>SUM('Detail per Cabang'!J5:J94)</f>
        <v>81561000</v>
      </c>
    </row>
    <row r="6" spans="1:3" x14ac:dyDescent="0.25">
      <c r="A6" s="4" t="s">
        <v>68</v>
      </c>
      <c r="B6" s="8">
        <f>COUNTIF('Detail per Cabang'!H5:H94,"Aman")</f>
        <v>80</v>
      </c>
      <c r="C6" s="8" t="s">
        <v>69</v>
      </c>
    </row>
    <row r="7" spans="1:3" x14ac:dyDescent="0.25">
      <c r="A7" s="4" t="s">
        <v>70</v>
      </c>
      <c r="B7" s="8">
        <f>COUNTIF('Detail per Cabang'!H5:H94,"Perlu Restock")</f>
        <v>10</v>
      </c>
      <c r="C7" s="8" t="s">
        <v>69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per Cabang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Makan Mania Mantap</dc:creator>
  <dc:title/>
  <dc:subject/>
  <dc:description/>
  <cp:keywords/>
  <cp:category/>
  <cp:lastModifiedBy>Unknown</cp:lastModifiedBy>
  <dcterms:created xsi:type="dcterms:W3CDTF">2026-09-07T12:44:57Z</dcterms:created>
  <dcterms:modified xsi:type="dcterms:W3CDTF">2026-09-07T12:44:57Z</dcterms:modified>
</cp:coreProperties>
</file>