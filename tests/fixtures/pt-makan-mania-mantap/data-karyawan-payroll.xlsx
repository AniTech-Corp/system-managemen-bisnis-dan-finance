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  <sheet sheetId="2" name="Ringkasan per Unit" state="visible" r:id="rId5"/>
  </sheets>
  <calcPr calcId="171027"/>
</workbook>
</file>

<file path=xl/sharedStrings.xml><?xml version="1.0" encoding="utf-8"?>
<sst xmlns="http://schemas.openxmlformats.org/spreadsheetml/2006/main" count="287" uniqueCount="150">
  <si>
    <t>Data Karyawan &amp; Payroll Bulanan</t>
  </si>
  <si>
    <t>PT Makan Mania Mantap — periode Agustus 2026 (fiktif, untuk testing)</t>
  </si>
  <si>
    <t>ID Karyawan</t>
  </si>
  <si>
    <t>Nama</t>
  </si>
  <si>
    <t>Jabatan</t>
  </si>
  <si>
    <t>Unit/Cabang</t>
  </si>
  <si>
    <t>Tgl Bergabung</t>
  </si>
  <si>
    <t>Status</t>
  </si>
  <si>
    <t>Gaji Pokok (Rp)</t>
  </si>
  <si>
    <t>Tunjangan (Rp)</t>
  </si>
  <si>
    <t>Total Gaji (Rp)</t>
  </si>
  <si>
    <t>MMM-0001</t>
  </si>
  <si>
    <t>Budi Santoso</t>
  </si>
  <si>
    <t>Direktur Utama</t>
  </si>
  <si>
    <t>HQ</t>
  </si>
  <si>
    <t>15 Maret 2019</t>
  </si>
  <si>
    <t>Tetap</t>
  </si>
  <si>
    <t>MMM-0002</t>
  </si>
  <si>
    <t>Siti Rahayu</t>
  </si>
  <si>
    <t>Direktur Operasional</t>
  </si>
  <si>
    <t>MMM-0003</t>
  </si>
  <si>
    <t>Ahmad Fauzi</t>
  </si>
  <si>
    <t>Manajer Keuangan</t>
  </si>
  <si>
    <t>2 April 2019</t>
  </si>
  <si>
    <t>MMM-0004</t>
  </si>
  <si>
    <t>Dewi Lestari</t>
  </si>
  <si>
    <t>Manajer HR &amp; GA</t>
  </si>
  <si>
    <t>MMM-0005</t>
  </si>
  <si>
    <t>Rizky Pratama</t>
  </si>
  <si>
    <t>Manajer Marketing</t>
  </si>
  <si>
    <t>20 Mei 2019</t>
  </si>
  <si>
    <t>MMM-0006</t>
  </si>
  <si>
    <t>Hendra Wijaya</t>
  </si>
  <si>
    <t>Branch Manager</t>
  </si>
  <si>
    <t>MMM Kemang</t>
  </si>
  <si>
    <t>MMM-0007</t>
  </si>
  <si>
    <t>Doni Prasetyo</t>
  </si>
  <si>
    <t>Asst. Branch Manager</t>
  </si>
  <si>
    <t>1 Juni 2019</t>
  </si>
  <si>
    <t>MMM-0008</t>
  </si>
  <si>
    <t>Yusuf Maulana</t>
  </si>
  <si>
    <t>Head Chef</t>
  </si>
  <si>
    <t>MMM-0009</t>
  </si>
  <si>
    <t>Agus Setiawan</t>
  </si>
  <si>
    <t>Cook</t>
  </si>
  <si>
    <t>10 April 2019</t>
  </si>
  <si>
    <t>MMM-0010</t>
  </si>
  <si>
    <t>Fajar Ramadhan</t>
  </si>
  <si>
    <t>3 Agustus 2020</t>
  </si>
  <si>
    <t>MMM-0011</t>
  </si>
  <si>
    <t>Putri Anggraini</t>
  </si>
  <si>
    <t>Waitress</t>
  </si>
  <si>
    <t>12 Januari 2021</t>
  </si>
  <si>
    <t>MMM-0012</t>
  </si>
  <si>
    <t>Nadia Kusuma</t>
  </si>
  <si>
    <t>5 Mei 2022</t>
  </si>
  <si>
    <t>Kontrak</t>
  </si>
  <si>
    <t>MMM-0013</t>
  </si>
  <si>
    <t>Rina Marlina</t>
  </si>
  <si>
    <t>Cashier</t>
  </si>
  <si>
    <t>MMM-0014</t>
  </si>
  <si>
    <t>Wahyu Setiadi</t>
  </si>
  <si>
    <t>Cleaning Staff</t>
  </si>
  <si>
    <t>1 April 2019</t>
  </si>
  <si>
    <t>MMM-0015</t>
  </si>
  <si>
    <t>Ratna Sari</t>
  </si>
  <si>
    <t>MMM Bintaro</t>
  </si>
  <si>
    <t>10 Januari 2020</t>
  </si>
  <si>
    <t>MMM-0016</t>
  </si>
  <si>
    <t>Bayu Aditya</t>
  </si>
  <si>
    <t>MMM-0017</t>
  </si>
  <si>
    <t>Eko Purnomo</t>
  </si>
  <si>
    <t>15 Februari 2020</t>
  </si>
  <si>
    <t>MMM-0018</t>
  </si>
  <si>
    <t>Lina Wulandari</t>
  </si>
  <si>
    <t>2 Maret 2021</t>
  </si>
  <si>
    <t>MMM-0019</t>
  </si>
  <si>
    <t>Sari Indah</t>
  </si>
  <si>
    <t>20 Januari 2020</t>
  </si>
  <si>
    <t>MMM-0020</t>
  </si>
  <si>
    <t>Dian Permata</t>
  </si>
  <si>
    <t>11 Juli 2023</t>
  </si>
  <si>
    <t>MMM-0021</t>
  </si>
  <si>
    <t>Andi Firmansyah</t>
  </si>
  <si>
    <t>MMM-0022</t>
  </si>
  <si>
    <t>Slamet Riyadi</t>
  </si>
  <si>
    <t>15 Januari 2020</t>
  </si>
  <si>
    <t>MMM-0023</t>
  </si>
  <si>
    <t>Taufik Hidayat</t>
  </si>
  <si>
    <t>MMM Dago Bandung</t>
  </si>
  <si>
    <t>22 Juni 2021</t>
  </si>
  <si>
    <t>MMM-0024</t>
  </si>
  <si>
    <t>Rani Kusumawati</t>
  </si>
  <si>
    <t>MMM-0025</t>
  </si>
  <si>
    <t>Iwan Setiawan</t>
  </si>
  <si>
    <t>1 Juli 2021</t>
  </si>
  <si>
    <t>MMM-0026</t>
  </si>
  <si>
    <t>Yuni Astuti</t>
  </si>
  <si>
    <t>14 Februari 2022</t>
  </si>
  <si>
    <t>MMM-0027</t>
  </si>
  <si>
    <t>Melati Putri</t>
  </si>
  <si>
    <t>MMM-0028</t>
  </si>
  <si>
    <t>Gilang Ramadhan</t>
  </si>
  <si>
    <t>Waiter</t>
  </si>
  <si>
    <t>3 Mei 2023</t>
  </si>
  <si>
    <t>MMM-0029</t>
  </si>
  <si>
    <t>Citra Dewi</t>
  </si>
  <si>
    <t>MMM-0030</t>
  </si>
  <si>
    <t>Asep Saepudin</t>
  </si>
  <si>
    <t>MMM-0031</t>
  </si>
  <si>
    <t>Bambang Kurniawan</t>
  </si>
  <si>
    <t>MMM Darmo Surabaya</t>
  </si>
  <si>
    <t>5 Februari 2022</t>
  </si>
  <si>
    <t>MMM-0032</t>
  </si>
  <si>
    <t>Dewi Anjani</t>
  </si>
  <si>
    <t>MMM-0033</t>
  </si>
  <si>
    <t>Hasan Basri</t>
  </si>
  <si>
    <t>20 Februari 2022</t>
  </si>
  <si>
    <t>MMM-0034</t>
  </si>
  <si>
    <t>Wulan Sari</t>
  </si>
  <si>
    <t>18 Agustus 2023</t>
  </si>
  <si>
    <t>MMM-0035</t>
  </si>
  <si>
    <t>Reza Ardiansyah</t>
  </si>
  <si>
    <t>MMM-0036</t>
  </si>
  <si>
    <t>Intan Permatasari</t>
  </si>
  <si>
    <t>MMM-0037</t>
  </si>
  <si>
    <t>Fitriani</t>
  </si>
  <si>
    <t>10 Maret 2022</t>
  </si>
  <si>
    <t>MMM-0038</t>
  </si>
  <si>
    <t>Joko Susilo</t>
  </si>
  <si>
    <t>MMM-0039</t>
  </si>
  <si>
    <t>Anton Wibowo</t>
  </si>
  <si>
    <t>MMM Malioboro Yogyakarta</t>
  </si>
  <si>
    <t>18 November 2023</t>
  </si>
  <si>
    <t>MMM-0040</t>
  </si>
  <si>
    <t>Sri Wahyuni</t>
  </si>
  <si>
    <t>MMM-0041</t>
  </si>
  <si>
    <t>Dwi Cahyono</t>
  </si>
  <si>
    <t>20 November 2023</t>
  </si>
  <si>
    <t>MMM-0042</t>
  </si>
  <si>
    <t>Retno Palupi</t>
  </si>
  <si>
    <t>25 November 2023</t>
  </si>
  <si>
    <t>MMM-0043</t>
  </si>
  <si>
    <t>Fajar Nugroho</t>
  </si>
  <si>
    <t>MMM-0044</t>
  </si>
  <si>
    <t>Sumarni</t>
  </si>
  <si>
    <t>TOTAL</t>
  </si>
  <si>
    <t>Ringkasan Payroll per Unit/Cabang</t>
  </si>
  <si>
    <t>PT Makan Mania Mantap</t>
  </si>
  <si>
    <t>Jumlah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</si>
</sst>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B2118"/>
      <sz val="14"/>
    </font>
    <font>
      <i/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5D2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0" fontId="4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24" customWidth="1"/>
    <col min="5" max="5" width="16" customWidth="1"/>
    <col min="6" max="6" width="10" customWidth="1"/>
    <col min="7" max="7" width="16" customWidth="1"/>
    <col min="8" max="8" width="14" customWidth="1"/>
    <col min="9" max="9" width="16" customWidth="1"/>
  </cols>
  <sheetData>
    <row r="1" ht="2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5">
        <v>25000000</v>
      </c>
      <c r="H5" s="5">
        <v>5000000</v>
      </c>
      <c r="I5" s="5">
        <f>G5+H5</f>
        <v>30000000</v>
      </c>
    </row>
    <row r="6" spans="1:9" x14ac:dyDescent="0.25">
      <c r="A6" s="4" t="s">
        <v>17</v>
      </c>
      <c r="B6" s="4" t="s">
        <v>18</v>
      </c>
      <c r="C6" s="4" t="s">
        <v>19</v>
      </c>
      <c r="D6" s="4" t="s">
        <v>14</v>
      </c>
      <c r="E6" s="4" t="s">
        <v>15</v>
      </c>
      <c r="F6" s="4" t="s">
        <v>16</v>
      </c>
      <c r="G6" s="5">
        <v>20000000</v>
      </c>
      <c r="H6" s="5">
        <v>4000000</v>
      </c>
      <c r="I6" s="5">
        <f>G6+H6</f>
        <v>24000000</v>
      </c>
    </row>
    <row r="7" spans="1:9" x14ac:dyDescent="0.25">
      <c r="A7" s="4" t="s">
        <v>20</v>
      </c>
      <c r="B7" s="4" t="s">
        <v>21</v>
      </c>
      <c r="C7" s="4" t="s">
        <v>22</v>
      </c>
      <c r="D7" s="4" t="s">
        <v>14</v>
      </c>
      <c r="E7" s="4" t="s">
        <v>23</v>
      </c>
      <c r="F7" s="4" t="s">
        <v>16</v>
      </c>
      <c r="G7" s="5">
        <v>12000000</v>
      </c>
      <c r="H7" s="5">
        <v>2500000</v>
      </c>
      <c r="I7" s="5">
        <f>G7+H7</f>
        <v>14500000</v>
      </c>
    </row>
    <row r="8" spans="1:9" x14ac:dyDescent="0.25">
      <c r="A8" s="4" t="s">
        <v>24</v>
      </c>
      <c r="B8" s="4" t="s">
        <v>25</v>
      </c>
      <c r="C8" s="4" t="s">
        <v>26</v>
      </c>
      <c r="D8" s="4" t="s">
        <v>14</v>
      </c>
      <c r="E8" s="4" t="s">
        <v>23</v>
      </c>
      <c r="F8" s="4" t="s">
        <v>16</v>
      </c>
      <c r="G8" s="5">
        <v>12000000</v>
      </c>
      <c r="H8" s="5">
        <v>2500000</v>
      </c>
      <c r="I8" s="5">
        <f>G8+H8</f>
        <v>14500000</v>
      </c>
    </row>
    <row r="9" spans="1:9" x14ac:dyDescent="0.25">
      <c r="A9" s="4" t="s">
        <v>27</v>
      </c>
      <c r="B9" s="4" t="s">
        <v>28</v>
      </c>
      <c r="C9" s="4" t="s">
        <v>29</v>
      </c>
      <c r="D9" s="4" t="s">
        <v>14</v>
      </c>
      <c r="E9" s="4" t="s">
        <v>30</v>
      </c>
      <c r="F9" s="4" t="s">
        <v>16</v>
      </c>
      <c r="G9" s="5">
        <v>12000000</v>
      </c>
      <c r="H9" s="5">
        <v>2500000</v>
      </c>
      <c r="I9" s="5">
        <f>G9+H9</f>
        <v>14500000</v>
      </c>
    </row>
    <row r="10" spans="1:9" x14ac:dyDescent="0.25">
      <c r="A10" s="4" t="s">
        <v>31</v>
      </c>
      <c r="B10" s="4" t="s">
        <v>32</v>
      </c>
      <c r="C10" s="4" t="s">
        <v>33</v>
      </c>
      <c r="D10" s="4" t="s">
        <v>34</v>
      </c>
      <c r="E10" s="4" t="s">
        <v>15</v>
      </c>
      <c r="F10" s="4" t="s">
        <v>16</v>
      </c>
      <c r="G10" s="5">
        <v>8500000</v>
      </c>
      <c r="H10" s="5">
        <v>1700000</v>
      </c>
      <c r="I10" s="5">
        <f>G10+H10</f>
        <v>10200000</v>
      </c>
    </row>
    <row r="11" spans="1:9" x14ac:dyDescent="0.25">
      <c r="A11" s="4" t="s">
        <v>35</v>
      </c>
      <c r="B11" s="4" t="s">
        <v>36</v>
      </c>
      <c r="C11" s="4" t="s">
        <v>37</v>
      </c>
      <c r="D11" s="4" t="s">
        <v>34</v>
      </c>
      <c r="E11" s="4" t="s">
        <v>38</v>
      </c>
      <c r="F11" s="4" t="s">
        <v>16</v>
      </c>
      <c r="G11" s="5">
        <v>6000000</v>
      </c>
      <c r="H11" s="5">
        <v>1000000</v>
      </c>
      <c r="I11" s="5">
        <f>G11+H11</f>
        <v>7000000</v>
      </c>
    </row>
    <row r="12" spans="1:9" x14ac:dyDescent="0.25">
      <c r="A12" s="4" t="s">
        <v>39</v>
      </c>
      <c r="B12" s="4" t="s">
        <v>40</v>
      </c>
      <c r="C12" s="4" t="s">
        <v>41</v>
      </c>
      <c r="D12" s="4" t="s">
        <v>34</v>
      </c>
      <c r="E12" s="4" t="s">
        <v>15</v>
      </c>
      <c r="F12" s="4" t="s">
        <v>16</v>
      </c>
      <c r="G12" s="5">
        <v>6500000</v>
      </c>
      <c r="H12" s="5">
        <v>1200000</v>
      </c>
      <c r="I12" s="5">
        <f>G12+H12</f>
        <v>7700000</v>
      </c>
    </row>
    <row r="13" spans="1:9" x14ac:dyDescent="0.25">
      <c r="A13" s="4" t="s">
        <v>42</v>
      </c>
      <c r="B13" s="4" t="s">
        <v>43</v>
      </c>
      <c r="C13" s="4" t="s">
        <v>44</v>
      </c>
      <c r="D13" s="4" t="s">
        <v>34</v>
      </c>
      <c r="E13" s="4" t="s">
        <v>45</v>
      </c>
      <c r="F13" s="4" t="s">
        <v>16</v>
      </c>
      <c r="G13" s="5">
        <v>4300000</v>
      </c>
      <c r="H13" s="5">
        <v>500000</v>
      </c>
      <c r="I13" s="5">
        <f>G13+H13</f>
        <v>4800000</v>
      </c>
    </row>
    <row r="14" spans="1:9" x14ac:dyDescent="0.25">
      <c r="A14" s="4" t="s">
        <v>46</v>
      </c>
      <c r="B14" s="4" t="s">
        <v>47</v>
      </c>
      <c r="C14" s="4" t="s">
        <v>44</v>
      </c>
      <c r="D14" s="4" t="s">
        <v>34</v>
      </c>
      <c r="E14" s="4" t="s">
        <v>48</v>
      </c>
      <c r="F14" s="4" t="s">
        <v>16</v>
      </c>
      <c r="G14" s="5">
        <v>4300000</v>
      </c>
      <c r="H14" s="5">
        <v>500000</v>
      </c>
      <c r="I14" s="5">
        <f>G14+H14</f>
        <v>4800000</v>
      </c>
    </row>
    <row r="15" spans="1:9" x14ac:dyDescent="0.25">
      <c r="A15" s="4" t="s">
        <v>49</v>
      </c>
      <c r="B15" s="4" t="s">
        <v>50</v>
      </c>
      <c r="C15" s="4" t="s">
        <v>51</v>
      </c>
      <c r="D15" s="4" t="s">
        <v>34</v>
      </c>
      <c r="E15" s="4" t="s">
        <v>52</v>
      </c>
      <c r="F15" s="4" t="s">
        <v>16</v>
      </c>
      <c r="G15" s="5">
        <v>3800000</v>
      </c>
      <c r="H15" s="5">
        <v>400000</v>
      </c>
      <c r="I15" s="5">
        <f>G15+H15</f>
        <v>4200000</v>
      </c>
    </row>
    <row r="16" spans="1:9" x14ac:dyDescent="0.25">
      <c r="A16" s="4" t="s">
        <v>53</v>
      </c>
      <c r="B16" s="4" t="s">
        <v>54</v>
      </c>
      <c r="C16" s="4" t="s">
        <v>51</v>
      </c>
      <c r="D16" s="4" t="s">
        <v>34</v>
      </c>
      <c r="E16" s="4" t="s">
        <v>55</v>
      </c>
      <c r="F16" s="4" t="s">
        <v>56</v>
      </c>
      <c r="G16" s="5">
        <v>3800000</v>
      </c>
      <c r="H16" s="5">
        <v>400000</v>
      </c>
      <c r="I16" s="5">
        <f>G16+H16</f>
        <v>4200000</v>
      </c>
    </row>
    <row r="17" spans="1:9" x14ac:dyDescent="0.25">
      <c r="A17" s="4" t="s">
        <v>57</v>
      </c>
      <c r="B17" s="4" t="s">
        <v>58</v>
      </c>
      <c r="C17" s="4" t="s">
        <v>59</v>
      </c>
      <c r="D17" s="4" t="s">
        <v>34</v>
      </c>
      <c r="E17" s="4" t="s">
        <v>15</v>
      </c>
      <c r="F17" s="4" t="s">
        <v>16</v>
      </c>
      <c r="G17" s="5">
        <v>3900000</v>
      </c>
      <c r="H17" s="5">
        <v>400000</v>
      </c>
      <c r="I17" s="5">
        <f>G17+H17</f>
        <v>4300000</v>
      </c>
    </row>
    <row r="18" spans="1:9" x14ac:dyDescent="0.25">
      <c r="A18" s="4" t="s">
        <v>60</v>
      </c>
      <c r="B18" s="4" t="s">
        <v>61</v>
      </c>
      <c r="C18" s="4" t="s">
        <v>62</v>
      </c>
      <c r="D18" s="4" t="s">
        <v>34</v>
      </c>
      <c r="E18" s="4" t="s">
        <v>63</v>
      </c>
      <c r="F18" s="4" t="s">
        <v>16</v>
      </c>
      <c r="G18" s="5">
        <v>3600000</v>
      </c>
      <c r="H18" s="5">
        <v>300000</v>
      </c>
      <c r="I18" s="5">
        <f>G18+H18</f>
        <v>3900000</v>
      </c>
    </row>
    <row r="19" spans="1:9" x14ac:dyDescent="0.25">
      <c r="A19" s="4" t="s">
        <v>64</v>
      </c>
      <c r="B19" s="4" t="s">
        <v>65</v>
      </c>
      <c r="C19" s="4" t="s">
        <v>33</v>
      </c>
      <c r="D19" s="4" t="s">
        <v>66</v>
      </c>
      <c r="E19" s="4" t="s">
        <v>67</v>
      </c>
      <c r="F19" s="4" t="s">
        <v>16</v>
      </c>
      <c r="G19" s="5">
        <v>8000000</v>
      </c>
      <c r="H19" s="5">
        <v>1600000</v>
      </c>
      <c r="I19" s="5">
        <f>G19+H19</f>
        <v>9600000</v>
      </c>
    </row>
    <row r="20" spans="1:9" x14ac:dyDescent="0.25">
      <c r="A20" s="4" t="s">
        <v>68</v>
      </c>
      <c r="B20" s="4" t="s">
        <v>69</v>
      </c>
      <c r="C20" s="4" t="s">
        <v>41</v>
      </c>
      <c r="D20" s="4" t="s">
        <v>66</v>
      </c>
      <c r="E20" s="4" t="s">
        <v>67</v>
      </c>
      <c r="F20" s="4" t="s">
        <v>16</v>
      </c>
      <c r="G20" s="5">
        <v>6200000</v>
      </c>
      <c r="H20" s="5">
        <v>1100000</v>
      </c>
      <c r="I20" s="5">
        <f>G20+H20</f>
        <v>7300000</v>
      </c>
    </row>
    <row r="21" spans="1:9" x14ac:dyDescent="0.25">
      <c r="A21" s="4" t="s">
        <v>70</v>
      </c>
      <c r="B21" s="4" t="s">
        <v>71</v>
      </c>
      <c r="C21" s="4" t="s">
        <v>44</v>
      </c>
      <c r="D21" s="4" t="s">
        <v>66</v>
      </c>
      <c r="E21" s="4" t="s">
        <v>72</v>
      </c>
      <c r="F21" s="4" t="s">
        <v>16</v>
      </c>
      <c r="G21" s="5">
        <v>4200000</v>
      </c>
      <c r="H21" s="5">
        <v>480000</v>
      </c>
      <c r="I21" s="5">
        <f>G21+H21</f>
        <v>4680000</v>
      </c>
    </row>
    <row r="22" spans="1:9" x14ac:dyDescent="0.25">
      <c r="A22" s="4" t="s">
        <v>73</v>
      </c>
      <c r="B22" s="4" t="s">
        <v>74</v>
      </c>
      <c r="C22" s="4" t="s">
        <v>44</v>
      </c>
      <c r="D22" s="4" t="s">
        <v>66</v>
      </c>
      <c r="E22" s="4" t="s">
        <v>75</v>
      </c>
      <c r="F22" s="4" t="s">
        <v>16</v>
      </c>
      <c r="G22" s="5">
        <v>4200000</v>
      </c>
      <c r="H22" s="5">
        <v>480000</v>
      </c>
      <c r="I22" s="5">
        <f>G22+H22</f>
        <v>4680000</v>
      </c>
    </row>
    <row r="23" spans="1:9" x14ac:dyDescent="0.25">
      <c r="A23" s="4" t="s">
        <v>76</v>
      </c>
      <c r="B23" s="4" t="s">
        <v>77</v>
      </c>
      <c r="C23" s="4" t="s">
        <v>51</v>
      </c>
      <c r="D23" s="4" t="s">
        <v>66</v>
      </c>
      <c r="E23" s="4" t="s">
        <v>78</v>
      </c>
      <c r="F23" s="4" t="s">
        <v>16</v>
      </c>
      <c r="G23" s="5">
        <v>3750000</v>
      </c>
      <c r="H23" s="5">
        <v>380000</v>
      </c>
      <c r="I23" s="5">
        <f>G23+H23</f>
        <v>4130000</v>
      </c>
    </row>
    <row r="24" spans="1:9" x14ac:dyDescent="0.25">
      <c r="A24" s="4" t="s">
        <v>79</v>
      </c>
      <c r="B24" s="4" t="s">
        <v>80</v>
      </c>
      <c r="C24" s="4" t="s">
        <v>51</v>
      </c>
      <c r="D24" s="4" t="s">
        <v>66</v>
      </c>
      <c r="E24" s="4" t="s">
        <v>81</v>
      </c>
      <c r="F24" s="4" t="s">
        <v>56</v>
      </c>
      <c r="G24" s="5">
        <v>3750000</v>
      </c>
      <c r="H24" s="5">
        <v>380000</v>
      </c>
      <c r="I24" s="5">
        <f>G24+H24</f>
        <v>4130000</v>
      </c>
    </row>
    <row r="25" spans="1:9" x14ac:dyDescent="0.25">
      <c r="A25" s="4" t="s">
        <v>82</v>
      </c>
      <c r="B25" s="4" t="s">
        <v>83</v>
      </c>
      <c r="C25" s="4" t="s">
        <v>59</v>
      </c>
      <c r="D25" s="4" t="s">
        <v>66</v>
      </c>
      <c r="E25" s="4" t="s">
        <v>67</v>
      </c>
      <c r="F25" s="4" t="s">
        <v>16</v>
      </c>
      <c r="G25" s="5">
        <v>3850000</v>
      </c>
      <c r="H25" s="5">
        <v>400000</v>
      </c>
      <c r="I25" s="5">
        <f>G25+H25</f>
        <v>4250000</v>
      </c>
    </row>
    <row r="26" spans="1:9" x14ac:dyDescent="0.25">
      <c r="A26" s="4" t="s">
        <v>84</v>
      </c>
      <c r="B26" s="4" t="s">
        <v>85</v>
      </c>
      <c r="C26" s="4" t="s">
        <v>62</v>
      </c>
      <c r="D26" s="4" t="s">
        <v>66</v>
      </c>
      <c r="E26" s="4" t="s">
        <v>86</v>
      </c>
      <c r="F26" s="4" t="s">
        <v>16</v>
      </c>
      <c r="G26" s="5">
        <v>3550000</v>
      </c>
      <c r="H26" s="5">
        <v>300000</v>
      </c>
      <c r="I26" s="5">
        <f>G26+H26</f>
        <v>3850000</v>
      </c>
    </row>
    <row r="27" spans="1:9" x14ac:dyDescent="0.25">
      <c r="A27" s="4" t="s">
        <v>87</v>
      </c>
      <c r="B27" s="4" t="s">
        <v>88</v>
      </c>
      <c r="C27" s="4" t="s">
        <v>33</v>
      </c>
      <c r="D27" s="4" t="s">
        <v>89</v>
      </c>
      <c r="E27" s="4" t="s">
        <v>90</v>
      </c>
      <c r="F27" s="4" t="s">
        <v>16</v>
      </c>
      <c r="G27" s="5">
        <v>7800000</v>
      </c>
      <c r="H27" s="5">
        <v>1500000</v>
      </c>
      <c r="I27" s="5">
        <f>G27+H27</f>
        <v>9300000</v>
      </c>
    </row>
    <row r="28" spans="1:9" x14ac:dyDescent="0.25">
      <c r="A28" s="4" t="s">
        <v>91</v>
      </c>
      <c r="B28" s="4" t="s">
        <v>92</v>
      </c>
      <c r="C28" s="4" t="s">
        <v>41</v>
      </c>
      <c r="D28" s="4" t="s">
        <v>89</v>
      </c>
      <c r="E28" s="4" t="s">
        <v>90</v>
      </c>
      <c r="F28" s="4" t="s">
        <v>16</v>
      </c>
      <c r="G28" s="5">
        <v>6000000</v>
      </c>
      <c r="H28" s="5">
        <v>1000000</v>
      </c>
      <c r="I28" s="5">
        <f>G28+H28</f>
        <v>7000000</v>
      </c>
    </row>
    <row r="29" spans="1:9" x14ac:dyDescent="0.25">
      <c r="A29" s="4" t="s">
        <v>93</v>
      </c>
      <c r="B29" s="4" t="s">
        <v>94</v>
      </c>
      <c r="C29" s="4" t="s">
        <v>44</v>
      </c>
      <c r="D29" s="4" t="s">
        <v>89</v>
      </c>
      <c r="E29" s="4" t="s">
        <v>95</v>
      </c>
      <c r="F29" s="4" t="s">
        <v>16</v>
      </c>
      <c r="G29" s="5">
        <v>4100000</v>
      </c>
      <c r="H29" s="5">
        <v>450000</v>
      </c>
      <c r="I29" s="5">
        <f>G29+H29</f>
        <v>4550000</v>
      </c>
    </row>
    <row r="30" spans="1:9" x14ac:dyDescent="0.25">
      <c r="A30" s="4" t="s">
        <v>96</v>
      </c>
      <c r="B30" s="4" t="s">
        <v>97</v>
      </c>
      <c r="C30" s="4" t="s">
        <v>44</v>
      </c>
      <c r="D30" s="4" t="s">
        <v>89</v>
      </c>
      <c r="E30" s="4" t="s">
        <v>98</v>
      </c>
      <c r="F30" s="4" t="s">
        <v>16</v>
      </c>
      <c r="G30" s="5">
        <v>4100000</v>
      </c>
      <c r="H30" s="5">
        <v>450000</v>
      </c>
      <c r="I30" s="5">
        <f>G30+H30</f>
        <v>4550000</v>
      </c>
    </row>
    <row r="31" spans="1:9" x14ac:dyDescent="0.25">
      <c r="A31" s="4" t="s">
        <v>99</v>
      </c>
      <c r="B31" s="4" t="s">
        <v>100</v>
      </c>
      <c r="C31" s="4" t="s">
        <v>51</v>
      </c>
      <c r="D31" s="4" t="s">
        <v>89</v>
      </c>
      <c r="E31" s="4" t="s">
        <v>90</v>
      </c>
      <c r="F31" s="4" t="s">
        <v>16</v>
      </c>
      <c r="G31" s="5">
        <v>3700000</v>
      </c>
      <c r="H31" s="5">
        <v>380000</v>
      </c>
      <c r="I31" s="5">
        <f>G31+H31</f>
        <v>4080000</v>
      </c>
    </row>
    <row r="32" spans="1:9" x14ac:dyDescent="0.25">
      <c r="A32" s="4" t="s">
        <v>101</v>
      </c>
      <c r="B32" s="4" t="s">
        <v>102</v>
      </c>
      <c r="C32" s="4" t="s">
        <v>103</v>
      </c>
      <c r="D32" s="4" t="s">
        <v>89</v>
      </c>
      <c r="E32" s="4" t="s">
        <v>104</v>
      </c>
      <c r="F32" s="4" t="s">
        <v>56</v>
      </c>
      <c r="G32" s="5">
        <v>3700000</v>
      </c>
      <c r="H32" s="5">
        <v>380000</v>
      </c>
      <c r="I32" s="5">
        <f>G32+H32</f>
        <v>4080000</v>
      </c>
    </row>
    <row r="33" spans="1:9" x14ac:dyDescent="0.25">
      <c r="A33" s="4" t="s">
        <v>105</v>
      </c>
      <c r="B33" s="4" t="s">
        <v>106</v>
      </c>
      <c r="C33" s="4" t="s">
        <v>59</v>
      </c>
      <c r="D33" s="4" t="s">
        <v>89</v>
      </c>
      <c r="E33" s="4" t="s">
        <v>90</v>
      </c>
      <c r="F33" s="4" t="s">
        <v>16</v>
      </c>
      <c r="G33" s="5">
        <v>3800000</v>
      </c>
      <c r="H33" s="5">
        <v>380000</v>
      </c>
      <c r="I33" s="5">
        <f>G33+H33</f>
        <v>4180000</v>
      </c>
    </row>
    <row r="34" spans="1:9" x14ac:dyDescent="0.25">
      <c r="A34" s="4" t="s">
        <v>107</v>
      </c>
      <c r="B34" s="4" t="s">
        <v>108</v>
      </c>
      <c r="C34" s="4" t="s">
        <v>62</v>
      </c>
      <c r="D34" s="4" t="s">
        <v>89</v>
      </c>
      <c r="E34" s="4" t="s">
        <v>95</v>
      </c>
      <c r="F34" s="4" t="s">
        <v>16</v>
      </c>
      <c r="G34" s="5">
        <v>3500000</v>
      </c>
      <c r="H34" s="5">
        <v>300000</v>
      </c>
      <c r="I34" s="5">
        <f>G34+H34</f>
        <v>3800000</v>
      </c>
    </row>
    <row r="35" spans="1:9" x14ac:dyDescent="0.25">
      <c r="A35" s="4" t="s">
        <v>109</v>
      </c>
      <c r="B35" s="4" t="s">
        <v>110</v>
      </c>
      <c r="C35" s="4" t="s">
        <v>33</v>
      </c>
      <c r="D35" s="4" t="s">
        <v>111</v>
      </c>
      <c r="E35" s="4" t="s">
        <v>112</v>
      </c>
      <c r="F35" s="4" t="s">
        <v>16</v>
      </c>
      <c r="G35" s="5">
        <v>7600000</v>
      </c>
      <c r="H35" s="5">
        <v>1450000</v>
      </c>
      <c r="I35" s="5">
        <f>G35+H35</f>
        <v>9050000</v>
      </c>
    </row>
    <row r="36" spans="1:9" x14ac:dyDescent="0.25">
      <c r="A36" s="4" t="s">
        <v>113</v>
      </c>
      <c r="B36" s="4" t="s">
        <v>114</v>
      </c>
      <c r="C36" s="4" t="s">
        <v>41</v>
      </c>
      <c r="D36" s="4" t="s">
        <v>111</v>
      </c>
      <c r="E36" s="4" t="s">
        <v>112</v>
      </c>
      <c r="F36" s="4" t="s">
        <v>16</v>
      </c>
      <c r="G36" s="5">
        <v>5900000</v>
      </c>
      <c r="H36" s="5">
        <v>980000</v>
      </c>
      <c r="I36" s="5">
        <f>G36+H36</f>
        <v>6880000</v>
      </c>
    </row>
    <row r="37" spans="1:9" x14ac:dyDescent="0.25">
      <c r="A37" s="4" t="s">
        <v>115</v>
      </c>
      <c r="B37" s="4" t="s">
        <v>116</v>
      </c>
      <c r="C37" s="4" t="s">
        <v>44</v>
      </c>
      <c r="D37" s="4" t="s">
        <v>111</v>
      </c>
      <c r="E37" s="4" t="s">
        <v>117</v>
      </c>
      <c r="F37" s="4" t="s">
        <v>16</v>
      </c>
      <c r="G37" s="5">
        <v>4000000</v>
      </c>
      <c r="H37" s="5">
        <v>430000</v>
      </c>
      <c r="I37" s="5">
        <f>G37+H37</f>
        <v>4430000</v>
      </c>
    </row>
    <row r="38" spans="1:9" x14ac:dyDescent="0.25">
      <c r="A38" s="4" t="s">
        <v>118</v>
      </c>
      <c r="B38" s="4" t="s">
        <v>119</v>
      </c>
      <c r="C38" s="4" t="s">
        <v>44</v>
      </c>
      <c r="D38" s="4" t="s">
        <v>111</v>
      </c>
      <c r="E38" s="4" t="s">
        <v>120</v>
      </c>
      <c r="F38" s="4" t="s">
        <v>56</v>
      </c>
      <c r="G38" s="5">
        <v>4000000</v>
      </c>
      <c r="H38" s="5">
        <v>430000</v>
      </c>
      <c r="I38" s="5">
        <f>G38+H38</f>
        <v>4430000</v>
      </c>
    </row>
    <row r="39" spans="1:9" x14ac:dyDescent="0.25">
      <c r="A39" s="4" t="s">
        <v>121</v>
      </c>
      <c r="B39" s="4" t="s">
        <v>122</v>
      </c>
      <c r="C39" s="4" t="s">
        <v>103</v>
      </c>
      <c r="D39" s="4" t="s">
        <v>111</v>
      </c>
      <c r="E39" s="4" t="s">
        <v>112</v>
      </c>
      <c r="F39" s="4" t="s">
        <v>16</v>
      </c>
      <c r="G39" s="5">
        <v>3650000</v>
      </c>
      <c r="H39" s="5">
        <v>370000</v>
      </c>
      <c r="I39" s="5">
        <f>G39+H39</f>
        <v>4020000</v>
      </c>
    </row>
    <row r="40" spans="1:9" x14ac:dyDescent="0.25">
      <c r="A40" s="4" t="s">
        <v>123</v>
      </c>
      <c r="B40" s="4" t="s">
        <v>124</v>
      </c>
      <c r="C40" s="4" t="s">
        <v>51</v>
      </c>
      <c r="D40" s="4" t="s">
        <v>111</v>
      </c>
      <c r="E40" s="4" t="s">
        <v>112</v>
      </c>
      <c r="F40" s="4" t="s">
        <v>16</v>
      </c>
      <c r="G40" s="5">
        <v>3650000</v>
      </c>
      <c r="H40" s="5">
        <v>370000</v>
      </c>
      <c r="I40" s="5">
        <f>G40+H40</f>
        <v>4020000</v>
      </c>
    </row>
    <row r="41" spans="1:9" x14ac:dyDescent="0.25">
      <c r="A41" s="4" t="s">
        <v>125</v>
      </c>
      <c r="B41" s="4" t="s">
        <v>126</v>
      </c>
      <c r="C41" s="4" t="s">
        <v>59</v>
      </c>
      <c r="D41" s="4" t="s">
        <v>111</v>
      </c>
      <c r="E41" s="4" t="s">
        <v>127</v>
      </c>
      <c r="F41" s="4" t="s">
        <v>16</v>
      </c>
      <c r="G41" s="5">
        <v>3750000</v>
      </c>
      <c r="H41" s="5">
        <v>370000</v>
      </c>
      <c r="I41" s="5">
        <f>G41+H41</f>
        <v>4120000</v>
      </c>
    </row>
    <row r="42" spans="1:9" x14ac:dyDescent="0.25">
      <c r="A42" s="4" t="s">
        <v>128</v>
      </c>
      <c r="B42" s="4" t="s">
        <v>129</v>
      </c>
      <c r="C42" s="4" t="s">
        <v>62</v>
      </c>
      <c r="D42" s="4" t="s">
        <v>111</v>
      </c>
      <c r="E42" s="4" t="s">
        <v>112</v>
      </c>
      <c r="F42" s="4" t="s">
        <v>16</v>
      </c>
      <c r="G42" s="5">
        <v>3450000</v>
      </c>
      <c r="H42" s="5">
        <v>290000</v>
      </c>
      <c r="I42" s="5">
        <f>G42+H42</f>
        <v>3740000</v>
      </c>
    </row>
    <row r="43" spans="1:9" x14ac:dyDescent="0.25">
      <c r="A43" s="4" t="s">
        <v>130</v>
      </c>
      <c r="B43" s="4" t="s">
        <v>131</v>
      </c>
      <c r="C43" s="4" t="s">
        <v>33</v>
      </c>
      <c r="D43" s="4" t="s">
        <v>132</v>
      </c>
      <c r="E43" s="4" t="s">
        <v>133</v>
      </c>
      <c r="F43" s="4" t="s">
        <v>16</v>
      </c>
      <c r="G43" s="5">
        <v>7200000</v>
      </c>
      <c r="H43" s="5">
        <v>1300000</v>
      </c>
      <c r="I43" s="5">
        <f>G43+H43</f>
        <v>8500000</v>
      </c>
    </row>
    <row r="44" spans="1:9" x14ac:dyDescent="0.25">
      <c r="A44" s="4" t="s">
        <v>134</v>
      </c>
      <c r="B44" s="4" t="s">
        <v>135</v>
      </c>
      <c r="C44" s="4" t="s">
        <v>41</v>
      </c>
      <c r="D44" s="4" t="s">
        <v>132</v>
      </c>
      <c r="E44" s="4" t="s">
        <v>133</v>
      </c>
      <c r="F44" s="4" t="s">
        <v>16</v>
      </c>
      <c r="G44" s="5">
        <v>5600000</v>
      </c>
      <c r="H44" s="5">
        <v>900000</v>
      </c>
      <c r="I44" s="5">
        <f>G44+H44</f>
        <v>6500000</v>
      </c>
    </row>
    <row r="45" spans="1:9" x14ac:dyDescent="0.25">
      <c r="A45" s="4" t="s">
        <v>136</v>
      </c>
      <c r="B45" s="4" t="s">
        <v>137</v>
      </c>
      <c r="C45" s="4" t="s">
        <v>44</v>
      </c>
      <c r="D45" s="4" t="s">
        <v>132</v>
      </c>
      <c r="E45" s="4" t="s">
        <v>138</v>
      </c>
      <c r="F45" s="4" t="s">
        <v>16</v>
      </c>
      <c r="G45" s="5">
        <v>3900000</v>
      </c>
      <c r="H45" s="5">
        <v>400000</v>
      </c>
      <c r="I45" s="5">
        <f>G45+H45</f>
        <v>4300000</v>
      </c>
    </row>
    <row r="46" spans="1:9" x14ac:dyDescent="0.25">
      <c r="A46" s="4" t="s">
        <v>139</v>
      </c>
      <c r="B46" s="4" t="s">
        <v>140</v>
      </c>
      <c r="C46" s="4" t="s">
        <v>51</v>
      </c>
      <c r="D46" s="4" t="s">
        <v>132</v>
      </c>
      <c r="E46" s="4" t="s">
        <v>141</v>
      </c>
      <c r="F46" s="4" t="s">
        <v>56</v>
      </c>
      <c r="G46" s="5">
        <v>3600000</v>
      </c>
      <c r="H46" s="5">
        <v>350000</v>
      </c>
      <c r="I46" s="5">
        <f>G46+H46</f>
        <v>3950000</v>
      </c>
    </row>
    <row r="47" spans="1:9" x14ac:dyDescent="0.25">
      <c r="A47" s="4" t="s">
        <v>142</v>
      </c>
      <c r="B47" s="4" t="s">
        <v>143</v>
      </c>
      <c r="C47" s="4" t="s">
        <v>59</v>
      </c>
      <c r="D47" s="4" t="s">
        <v>132</v>
      </c>
      <c r="E47" s="4" t="s">
        <v>133</v>
      </c>
      <c r="F47" s="4" t="s">
        <v>16</v>
      </c>
      <c r="G47" s="5">
        <v>3700000</v>
      </c>
      <c r="H47" s="5">
        <v>350000</v>
      </c>
      <c r="I47" s="5">
        <f>G47+H47</f>
        <v>4050000</v>
      </c>
    </row>
    <row r="48" spans="1:9" x14ac:dyDescent="0.25">
      <c r="A48" s="4" t="s">
        <v>144</v>
      </c>
      <c r="B48" s="4" t="s">
        <v>145</v>
      </c>
      <c r="C48" s="4" t="s">
        <v>62</v>
      </c>
      <c r="D48" s="4" t="s">
        <v>132</v>
      </c>
      <c r="E48" s="4" t="s">
        <v>133</v>
      </c>
      <c r="F48" s="4" t="s">
        <v>16</v>
      </c>
      <c r="G48" s="5">
        <v>3400000</v>
      </c>
      <c r="H48" s="5">
        <v>280000</v>
      </c>
      <c r="I48" s="5">
        <f>G48+H48</f>
        <v>3680000</v>
      </c>
    </row>
    <row r="49" spans="2:9" x14ac:dyDescent="0.25">
      <c r="B49" s="6" t="s">
        <v>146</v>
      </c>
      <c r="G49" s="7">
        <f>SUM(G5:G48)</f>
        <v>263300000</v>
      </c>
      <c r="H49" s="7">
        <f>SUM(H5:H48)</f>
        <v>41130000</v>
      </c>
      <c r="I49" s="7">
        <f>SUM(I5:I48)</f>
        <v>304430000</v>
      </c>
    </row>
  </sheetData>
  <autoFilter ref="A4:I48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6" customWidth="1"/>
    <col min="2" max="2" width="16" customWidth="1"/>
    <col min="3" max="3" width="18" customWidth="1"/>
  </cols>
  <sheetData>
    <row r="1" ht="24" customHeight="1" spans="1:3" x14ac:dyDescent="0.25">
      <c r="A1" s="1" t="s">
        <v>147</v>
      </c>
      <c r="B1" s="1"/>
      <c r="C1" s="1"/>
    </row>
    <row r="2" spans="1:3" x14ac:dyDescent="0.25">
      <c r="A2" s="2" t="s">
        <v>148</v>
      </c>
      <c r="B2" s="2"/>
      <c r="C2" s="2"/>
    </row>
    <row r="4" ht="22" customHeight="1" spans="1:3" x14ac:dyDescent="0.25">
      <c r="A4" s="3" t="s">
        <v>5</v>
      </c>
      <c r="B4" s="3" t="s">
        <v>149</v>
      </c>
      <c r="C4" s="3" t="s">
        <v>10</v>
      </c>
    </row>
    <row r="5" spans="1:3" x14ac:dyDescent="0.25">
      <c r="A5" s="4" t="s">
        <v>14</v>
      </c>
      <c r="B5" s="4">
        <v>5</v>
      </c>
      <c r="C5" s="5">
        <v>97500000</v>
      </c>
    </row>
    <row r="6" spans="1:3" x14ac:dyDescent="0.25">
      <c r="A6" s="4" t="s">
        <v>34</v>
      </c>
      <c r="B6" s="4">
        <v>9</v>
      </c>
      <c r="C6" s="5">
        <v>51100000</v>
      </c>
    </row>
    <row r="7" spans="1:3" x14ac:dyDescent="0.25">
      <c r="A7" s="4" t="s">
        <v>66</v>
      </c>
      <c r="B7" s="4">
        <v>8</v>
      </c>
      <c r="C7" s="5">
        <v>42620000</v>
      </c>
    </row>
    <row r="8" spans="1:3" x14ac:dyDescent="0.25">
      <c r="A8" s="4" t="s">
        <v>89</v>
      </c>
      <c r="B8" s="4">
        <v>8</v>
      </c>
      <c r="C8" s="5">
        <v>41540000</v>
      </c>
    </row>
    <row r="9" spans="1:3" x14ac:dyDescent="0.25">
      <c r="A9" s="4" t="s">
        <v>111</v>
      </c>
      <c r="B9" s="4">
        <v>8</v>
      </c>
      <c r="C9" s="5">
        <v>40690000</v>
      </c>
    </row>
    <row r="10" spans="1:3" x14ac:dyDescent="0.25">
      <c r="A10" s="4" t="s">
        <v>132</v>
      </c>
      <c r="B10" s="4">
        <v>6</v>
      </c>
      <c r="C10" s="5">
        <v>30980000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Ringkasan per Unit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Makan Mania Mantap</dc:creator>
  <dc:title/>
  <dc:subject/>
  <dc:description/>
  <cp:keywords/>
  <cp:category/>
  <cp:lastModifiedBy>Unknown</cp:lastModifiedBy>
  <dcterms:created xsi:type="dcterms:W3CDTF">2026-09-07T12:44:57Z</dcterms:created>
  <dcterms:modified xsi:type="dcterms:W3CDTF">2026-09-07T12:44:57Z</dcterms:modified>
</cp:coreProperties>
</file>