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aba Rugi Q2 2026" state="visible" r:id="rId4"/>
    <sheet sheetId="2" name="Rincian Omzet per Cabang" state="visible" r:id="rId5"/>
  </sheets>
  <calcPr calcId="171027"/>
</workbook>
</file>

<file path=xl/sharedStrings.xml><?xml version="1.0" encoding="utf-8"?>
<sst xmlns="http://schemas.openxmlformats.org/spreadsheetml/2006/main" count="36" uniqueCount="32">
  <si>
    <t>Laporan Laba Rugi — Kuartal II 2026 (April - Juni 2026)</t>
  </si>
  <si>
    <t>PT Makan Mania Mantap — data untuk keperluan pengujian sistem (fiktif)</t>
  </si>
  <si>
    <t>Komponen</t>
  </si>
  <si>
    <t>April 2026</t>
  </si>
  <si>
    <t>Mei 2026</t>
  </si>
  <si>
    <t>Juni 2026</t>
  </si>
  <si>
    <t>Total Q2 2026</t>
  </si>
  <si>
    <t>PENDAPATAN (Penjualan Bersih)</t>
  </si>
  <si>
    <t>Harga Pokok Penjualan (HPP)</t>
  </si>
  <si>
    <t>LABA KOTOR</t>
  </si>
  <si>
    <t>BEBAN OPERASIONAL</t>
  </si>
  <si>
    <t xml:space="preserve">   Gaji &amp; Tunjangan Karyawan</t>
  </si>
  <si>
    <t xml:space="preserve">   Sewa Ruko (5 Cabang)</t>
  </si>
  <si>
    <t xml:space="preserve">   Listrik, Air &amp; Utilitas</t>
  </si>
  <si>
    <t xml:space="preserve">   Marketing &amp; Promosi</t>
  </si>
  <si>
    <t xml:space="preserve">   Komisi Platform Online (GoFood/GrabFood)</t>
  </si>
  <si>
    <t xml:space="preserve">   Penyusutan Aset (Depresiasi)</t>
  </si>
  <si>
    <t xml:space="preserve">   Perlengkapan &amp; ATK</t>
  </si>
  <si>
    <t xml:space="preserve">   Beban Lain-lain</t>
  </si>
  <si>
    <t>TOTAL BEBAN OPERASIONAL</t>
  </si>
  <si>
    <t>LABA OPERASIONAL (Sebelum Pajak)</t>
  </si>
  <si>
    <t>Pajak Penghasilan Badan (22%)</t>
  </si>
  <si>
    <t>LABA BERSIH SETELAH PAJAK</t>
  </si>
  <si>
    <t>Kontribusi Omzet per Cabang — Q2 2026 (Apr-Jun)</t>
  </si>
  <si>
    <t>PT Makan Mania Mantap</t>
  </si>
  <si>
    <t>Cabang</t>
  </si>
  <si>
    <t>MMM Kemang</t>
  </si>
  <si>
    <t>MMM Bintaro</t>
  </si>
  <si>
    <t>MMM Dago Bandung</t>
  </si>
  <si>
    <t>MMM Darmo Surabaya</t>
  </si>
  <si>
    <t>MMM Malioboro Yogyakarta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</si>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</sst>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2B2118"/>
      <sz val="14"/>
    </font>
    <font>
      <i/>
      <color rgb="FF666666"/>
      <sz val="10"/>
    </font>
    <font>
      <b/>
      <color rgb="FFFFFFFF"/>
    </font>
    <font>
      <b/>
    </font>
    <font>
      <b/>
      <i/>
    </font>
    <font>
      <b/>
      <color rgb="FFFFFFFF"/>
      <sz val="12"/>
    </font>
  </fonts>
  <fills count="4">
    <fill>
      <patternFill patternType="none"/>
    </fill>
    <fill>
      <patternFill patternType="gray125"/>
    </fill>
    <fill>
      <patternFill patternType="solid">
        <fgColor rgb="FFE85D26"/>
      </patternFill>
    </fill>
    <fill>
      <patternFill patternType="solid">
        <fgColor rgb="FFFFF4E6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/>
    <xf numFmtId="3" fontId="4" fillId="0" borderId="1" xfId="0" applyNumberFormat="1" applyFont="1" applyBorder="1"/>
    <xf numFmtId="0" fontId="0" fillId="0" borderId="1" xfId="0" applyBorder="1"/>
    <xf numFmtId="3" fontId="0" fillId="0" borderId="1" xfId="0" applyNumberFormat="1" applyBorder="1"/>
    <xf numFmtId="0" fontId="4" fillId="3" borderId="1" xfId="0" applyFont="1" applyFill="1" applyBorder="1"/>
    <xf numFmtId="3" fontId="4" fillId="3" borderId="1" xfId="0" applyNumberFormat="1" applyFont="1" applyFill="1" applyBorder="1"/>
    <xf numFmtId="0" fontId="5" fillId="0" borderId="0" xfId="0" applyFont="1"/>
    <xf numFmtId="0" fontId="0" fillId="0" borderId="1" xfId="0" applyBorder="1" applyAlignment="1">
      <alignment indent="1"/>
    </xf>
    <xf numFmtId="0" fontId="6" fillId="2" borderId="1" xfId="0" applyFont="1" applyFill="1" applyBorder="1"/>
    <xf numFmtId="3" fontId="6" fillId="2" borderId="1" xfId="0" applyNumberFormat="1" applyFont="1" applyFill="1" applyBorder="1"/>
    <xf numFmtId="0" fontId="4" fillId="0" borderId="0" xfId="0" applyFont="1"/>
    <xf numFmtId="3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FormatPr defaultRowHeight="15" outlineLevelRow="0" outlineLevelCol="0" x14ac:dyDescent="55"/>
  <cols>
    <col min="1" max="1" width="34" customWidth="1"/>
    <col min="2" max="5" width="18" customWidth="1"/>
  </cols>
  <sheetData>
    <row r="1" ht="24" customHeight="1" spans="1:5" x14ac:dyDescent="0.25">
      <c r="A1" s="1" t="s">
        <v>0</v>
      </c>
      <c r="B1" s="1"/>
      <c r="C1" s="1"/>
      <c r="D1" s="1"/>
      <c r="E1" s="1"/>
    </row>
    <row r="2" spans="1:5" x14ac:dyDescent="0.25">
      <c r="A2" s="2" t="s">
        <v>1</v>
      </c>
      <c r="B2" s="2"/>
      <c r="C2" s="2"/>
      <c r="D2" s="2"/>
      <c r="E2" s="2"/>
    </row>
    <row r="4" ht="22" customHeight="1" spans="1:5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spans="1:5" x14ac:dyDescent="0.25">
      <c r="A5" s="4" t="s">
        <v>7</v>
      </c>
      <c r="B5" s="5">
        <v>1736707006</v>
      </c>
      <c r="C5" s="5">
        <v>1845227800</v>
      </c>
      <c r="D5" s="5">
        <v>1821623833</v>
      </c>
      <c r="E5" s="5">
        <f>SUM(B5:D5)</f>
        <v>5403558639</v>
      </c>
    </row>
    <row r="6" spans="1:5" x14ac:dyDescent="0.25">
      <c r="A6" s="6" t="s">
        <v>8</v>
      </c>
      <c r="B6" s="7">
        <v>733556869</v>
      </c>
      <c r="C6" s="7">
        <v>773651110</v>
      </c>
      <c r="D6" s="7">
        <v>756117898</v>
      </c>
      <c r="E6" s="7">
        <f>SUM(B6:D6)</f>
        <v>2263325877</v>
      </c>
    </row>
    <row r="7" spans="1:5" x14ac:dyDescent="0.25">
      <c r="A7" s="8" t="s">
        <v>9</v>
      </c>
      <c r="B7" s="9">
        <f>B5-B6</f>
        <v>1003150137</v>
      </c>
      <c r="C7" s="9">
        <f>C5-C6</f>
        <v>1071576690</v>
      </c>
      <c r="D7" s="9">
        <f>D5-D6</f>
        <v>1065505935</v>
      </c>
      <c r="E7" s="9">
        <f>SUM(B7:D7)</f>
        <v>3140232762</v>
      </c>
    </row>
    <row r="9" spans="1:1" x14ac:dyDescent="0.25">
      <c r="A9" s="10" t="s">
        <v>10</v>
      </c>
    </row>
    <row r="10" spans="1:5" x14ac:dyDescent="0.25">
      <c r="A10" s="11" t="s">
        <v>11</v>
      </c>
      <c r="B10" s="7">
        <v>304430000</v>
      </c>
      <c r="C10" s="7">
        <v>304430000</v>
      </c>
      <c r="D10" s="7">
        <v>304430000</v>
      </c>
      <c r="E10" s="7">
        <f>SUM(B10:D10)</f>
        <v>913290000</v>
      </c>
    </row>
    <row r="11" spans="1:5" x14ac:dyDescent="0.25">
      <c r="A11" s="11" t="s">
        <v>12</v>
      </c>
      <c r="B11" s="7">
        <v>81500000</v>
      </c>
      <c r="C11" s="7">
        <v>81500000</v>
      </c>
      <c r="D11" s="7">
        <v>81500000</v>
      </c>
      <c r="E11" s="7">
        <f>SUM(B11:D11)</f>
        <v>244500000</v>
      </c>
    </row>
    <row r="12" spans="1:5" x14ac:dyDescent="0.25">
      <c r="A12" s="11" t="s">
        <v>13</v>
      </c>
      <c r="B12" s="7">
        <v>78151815</v>
      </c>
      <c r="C12" s="7">
        <v>83035251</v>
      </c>
      <c r="D12" s="7">
        <v>81973072</v>
      </c>
      <c r="E12" s="7">
        <f>SUM(B12:D12)</f>
        <v>243160138</v>
      </c>
    </row>
    <row r="13" spans="1:5" x14ac:dyDescent="0.25">
      <c r="A13" s="11" t="s">
        <v>14</v>
      </c>
      <c r="B13" s="7">
        <v>69468280</v>
      </c>
      <c r="C13" s="7">
        <v>73809112</v>
      </c>
      <c r="D13" s="7">
        <v>72864953</v>
      </c>
      <c r="E13" s="7">
        <f>SUM(B13:D13)</f>
        <v>216142345</v>
      </c>
    </row>
    <row r="14" spans="1:5" x14ac:dyDescent="0.25">
      <c r="A14" s="11" t="s">
        <v>15</v>
      </c>
      <c r="B14" s="7">
        <v>34734140</v>
      </c>
      <c r="C14" s="7">
        <v>36904556</v>
      </c>
      <c r="D14" s="7">
        <v>36432477</v>
      </c>
      <c r="E14" s="7">
        <f>SUM(B14:D14)</f>
        <v>108071173</v>
      </c>
    </row>
    <row r="15" spans="1:5" x14ac:dyDescent="0.25">
      <c r="A15" s="11" t="s">
        <v>16</v>
      </c>
      <c r="B15" s="7">
        <v>20000000</v>
      </c>
      <c r="C15" s="7">
        <v>20000000</v>
      </c>
      <c r="D15" s="7">
        <v>20000000</v>
      </c>
      <c r="E15" s="7">
        <f>SUM(B15:D15)</f>
        <v>60000000</v>
      </c>
    </row>
    <row r="16" spans="1:5" x14ac:dyDescent="0.25">
      <c r="A16" s="11" t="s">
        <v>17</v>
      </c>
      <c r="B16" s="7">
        <v>6000000</v>
      </c>
      <c r="C16" s="7">
        <v>6000000</v>
      </c>
      <c r="D16" s="7">
        <v>6000000</v>
      </c>
      <c r="E16" s="7">
        <f>SUM(B16:D16)</f>
        <v>18000000</v>
      </c>
    </row>
    <row r="17" spans="1:5" x14ac:dyDescent="0.25">
      <c r="A17" s="11" t="s">
        <v>18</v>
      </c>
      <c r="B17" s="7">
        <v>52101210</v>
      </c>
      <c r="C17" s="7">
        <v>55356834</v>
      </c>
      <c r="D17" s="7">
        <v>54648715</v>
      </c>
      <c r="E17" s="7">
        <f>SUM(B17:D17)</f>
        <v>162106759</v>
      </c>
    </row>
    <row r="18" spans="1:5" x14ac:dyDescent="0.25">
      <c r="A18" s="4" t="s">
        <v>19</v>
      </c>
      <c r="B18" s="5">
        <f>SUM(B10:B17)</f>
        <v>646385445</v>
      </c>
      <c r="C18" s="5">
        <f>SUM(C10:C17)</f>
        <v>661035753</v>
      </c>
      <c r="D18" s="5">
        <f>SUM(D10:D17)</f>
        <v>657849217</v>
      </c>
      <c r="E18" s="5">
        <f>SUM(B18:D18)</f>
        <v>1965270415</v>
      </c>
    </row>
    <row r="20" spans="1:5" x14ac:dyDescent="0.25">
      <c r="A20" s="8" t="s">
        <v>20</v>
      </c>
      <c r="B20" s="9">
        <f>B7-B18</f>
        <v>356764692</v>
      </c>
      <c r="C20" s="9">
        <f>C7-C18</f>
        <v>410540937</v>
      </c>
      <c r="D20" s="9">
        <f>D7-D18</f>
        <v>407656718</v>
      </c>
      <c r="E20" s="9">
        <f>SUM(B20:D20)</f>
        <v>1174962347</v>
      </c>
    </row>
    <row r="21" spans="1:5" x14ac:dyDescent="0.25">
      <c r="A21" s="6" t="s">
        <v>21</v>
      </c>
      <c r="E21" s="7">
        <f>E20*0.22</f>
        <v>258491716</v>
      </c>
    </row>
    <row r="22" spans="1:5" x14ac:dyDescent="0.25">
      <c r="A22" s="12" t="s">
        <v>22</v>
      </c>
      <c r="E22" s="13">
        <f>E20-E21</f>
        <v>916470631</v>
      </c>
    </row>
  </sheetData>
  <mergeCells count="2">
    <mergeCell ref="A1:E1"/>
    <mergeCell ref="A2:E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FormatPr defaultRowHeight="15" outlineLevelRow="0" outlineLevelCol="0" x14ac:dyDescent="55"/>
  <cols>
    <col min="1" max="1" width="24" customWidth="1"/>
    <col min="2" max="5" width="18" customWidth="1"/>
  </cols>
  <sheetData>
    <row r="1" ht="24" customHeight="1" spans="1:5" x14ac:dyDescent="0.25">
      <c r="A1" s="1" t="s">
        <v>23</v>
      </c>
      <c r="B1" s="1"/>
      <c r="C1" s="1"/>
      <c r="D1" s="1"/>
      <c r="E1" s="1"/>
    </row>
    <row r="2" spans="1:5" x14ac:dyDescent="0.25">
      <c r="A2" s="2" t="s">
        <v>24</v>
      </c>
      <c r="B2" s="2"/>
      <c r="C2" s="2"/>
      <c r="D2" s="2"/>
      <c r="E2" s="2"/>
    </row>
    <row r="4" ht="22" customHeight="1" spans="1:5" x14ac:dyDescent="0.25">
      <c r="A4" s="3" t="s">
        <v>25</v>
      </c>
      <c r="B4" s="3" t="s">
        <v>3</v>
      </c>
      <c r="C4" s="3" t="s">
        <v>4</v>
      </c>
      <c r="D4" s="3" t="s">
        <v>5</v>
      </c>
      <c r="E4" s="3" t="s">
        <v>6</v>
      </c>
    </row>
    <row r="5" spans="1:5" x14ac:dyDescent="0.25">
      <c r="A5" s="6" t="s">
        <v>26</v>
      </c>
      <c r="B5" s="7">
        <v>526118478</v>
      </c>
      <c r="C5" s="7">
        <v>551527823</v>
      </c>
      <c r="D5" s="7">
        <v>558891135</v>
      </c>
      <c r="E5" s="7">
        <f>SUM(B5:D5)</f>
        <v>1636537436</v>
      </c>
    </row>
    <row r="6" spans="1:5" x14ac:dyDescent="0.25">
      <c r="A6" s="6" t="s">
        <v>27</v>
      </c>
      <c r="B6" s="7">
        <v>401923361</v>
      </c>
      <c r="C6" s="7">
        <v>428613992</v>
      </c>
      <c r="D6" s="7">
        <v>409920781</v>
      </c>
      <c r="E6" s="7">
        <f>SUM(B6:D6)</f>
        <v>1240458134</v>
      </c>
    </row>
    <row r="7" spans="1:5" x14ac:dyDescent="0.25">
      <c r="A7" s="6" t="s">
        <v>28</v>
      </c>
      <c r="B7" s="7">
        <v>314535929</v>
      </c>
      <c r="C7" s="7">
        <v>351062195</v>
      </c>
      <c r="D7" s="7">
        <v>342114419</v>
      </c>
      <c r="E7" s="7">
        <f>SUM(B7:D7)</f>
        <v>1007712543</v>
      </c>
    </row>
    <row r="8" spans="1:5" x14ac:dyDescent="0.25">
      <c r="A8" s="6" t="s">
        <v>29</v>
      </c>
      <c r="B8" s="7">
        <v>286392406</v>
      </c>
      <c r="C8" s="7">
        <v>297185584</v>
      </c>
      <c r="D8" s="7">
        <v>297774278</v>
      </c>
      <c r="E8" s="7">
        <f>SUM(B8:D8)</f>
        <v>881352268</v>
      </c>
    </row>
    <row r="9" spans="1:5" x14ac:dyDescent="0.25">
      <c r="A9" s="6" t="s">
        <v>30</v>
      </c>
      <c r="B9" s="7">
        <v>207736832</v>
      </c>
      <c r="C9" s="7">
        <v>216838206</v>
      </c>
      <c r="D9" s="7">
        <v>212923220</v>
      </c>
      <c r="E9" s="7">
        <f>SUM(B9:D9)</f>
        <v>637498258</v>
      </c>
    </row>
    <row r="10" spans="1:5" x14ac:dyDescent="0.25">
      <c r="A10" s="14" t="s">
        <v>31</v>
      </c>
      <c r="B10" s="15">
        <f>SUM(B5:B9)</f>
        <v>1736707006</v>
      </c>
      <c r="C10" s="15">
        <f>SUM(C5:C9)</f>
        <v>1845227800</v>
      </c>
      <c r="D10" s="15">
        <f>SUM(D5:D9)</f>
        <v>1821623833</v>
      </c>
      <c r="E10" s="15">
        <f>SUM(E5:E9)</f>
        <v>5403558639</v>
      </c>
    </row>
  </sheetData>
  <mergeCells count="2">
    <mergeCell ref="A1:E1"/>
    <mergeCell ref="A2:E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Laba Rugi Q2 2026</vt:lpstr>
      <vt:lpstr>Rincian Omzet per Cabang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PT Makan Mania Mantap</dc:creator>
  <dc:title/>
  <dc:subject/>
  <dc:description/>
  <cp:keywords/>
  <cp:category/>
  <cp:lastModifiedBy>Unknown</cp:lastModifiedBy>
  <dcterms:created xsi:type="dcterms:W3CDTF">2026-09-07T12:44:57Z</dcterms:created>
  <dcterms:modified xsi:type="dcterms:W3CDTF">2026-09-07T12:44:57Z</dcterms:modified>
</cp:coreProperties>
</file>