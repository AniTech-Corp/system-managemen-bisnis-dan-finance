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Harian" state="visible" r:id="rId4"/>
    <sheet sheetId="2" name="Rekap per Cabang" state="visible" r:id="rId5"/>
    <sheet sheetId="3" name="Rekap per Kategori" state="visible" r:id="rId6"/>
  </sheets>
  <calcPr calcId="171027"/>
</workbook>
</file>

<file path=xl/sharedStrings.xml><?xml version="1.0" encoding="utf-8"?>
<sst xmlns="http://schemas.openxmlformats.org/spreadsheetml/2006/main" count="506" uniqueCount="73">
  <si>
    <t>Laporan Penjualan Harian — Agustus 2026</t>
  </si>
  <si>
    <t>PT Makan Mania Mantap — data untuk keperluan pengujian sistem (fiktif)</t>
  </si>
  <si>
    <t>Tanggal</t>
  </si>
  <si>
    <t>Hari</t>
  </si>
  <si>
    <t>Cabang</t>
  </si>
  <si>
    <t>Makanan Utama (Rp)</t>
  </si>
  <si>
    <t>Minuman (Rp)</t>
  </si>
  <si>
    <t>Snack &amp; Appetizer (Rp)</t>
  </si>
  <si>
    <t>Dessert (Rp)</t>
  </si>
  <si>
    <t>Total Harian (Rp)</t>
  </si>
  <si>
    <t>Kontribusi %</t>
  </si>
  <si>
    <t>1 Agustus 2026</t>
  </si>
  <si>
    <t>Sabtu</t>
  </si>
  <si>
    <t>MMM Kemang</t>
  </si>
  <si>
    <t>2 Agustus 2026</t>
  </si>
  <si>
    <t>Minggu</t>
  </si>
  <si>
    <t>3 Agustus 2026</t>
  </si>
  <si>
    <t>Senin</t>
  </si>
  <si>
    <t>4 Agustus 2026</t>
  </si>
  <si>
    <t>Selasa</t>
  </si>
  <si>
    <t>5 Agustus 2026</t>
  </si>
  <si>
    <t>Rabu</t>
  </si>
  <si>
    <t>6 Agustus 2026</t>
  </si>
  <si>
    <t>Kamis</t>
  </si>
  <si>
    <t>7 Agustus 2026</t>
  </si>
  <si>
    <t>Jumat</t>
  </si>
  <si>
    <t>8 Agustus 2026</t>
  </si>
  <si>
    <t>9 Agustus 2026</t>
  </si>
  <si>
    <t>10 Agustus 2026</t>
  </si>
  <si>
    <t>11 Agustus 2026</t>
  </si>
  <si>
    <t>12 Agustus 2026</t>
  </si>
  <si>
    <t>13 Agustus 2026</t>
  </si>
  <si>
    <t>14 Agustus 2026</t>
  </si>
  <si>
    <t>15 Agustus 2026</t>
  </si>
  <si>
    <t>16 Agustus 2026</t>
  </si>
  <si>
    <t>17 Agustus 2026</t>
  </si>
  <si>
    <t>18 Agustus 2026</t>
  </si>
  <si>
    <t>19 Agustus 2026</t>
  </si>
  <si>
    <t>20 Agustus 2026</t>
  </si>
  <si>
    <t>21 Agustus 2026</t>
  </si>
  <si>
    <t>22 Agustus 2026</t>
  </si>
  <si>
    <t>23 Agustus 2026</t>
  </si>
  <si>
    <t>24 Agustus 2026</t>
  </si>
  <si>
    <t>25 Agustus 2026</t>
  </si>
  <si>
    <t>26 Agustus 2026</t>
  </si>
  <si>
    <t>27 Agustus 2026</t>
  </si>
  <si>
    <t>28 Agustus 2026</t>
  </si>
  <si>
    <t>29 Agustus 2026</t>
  </si>
  <si>
    <t>30 Agustus 2026</t>
  </si>
  <si>
    <t>31 Agustus 2026</t>
  </si>
  <si>
    <t>MMM Bintaro</t>
  </si>
  <si>
    <t>MMM Dago Bandung</t>
  </si>
  <si>
    <t>MMM Darmo Surabaya</t>
  </si>
  <si>
    <t>MMM Malioboro Yogyakarta</t>
  </si>
  <si>
    <t>TOTAL</t>
  </si>
  <si>
    <t>RATA-RATA HARIAN</t>
  </si>
  <si>
    <t>Rekap Penjualan per Cabang — Agustus 2026</t>
  </si>
  <si>
    <t>PT Makan Mania Mantap</t>
  </si>
  <si>
    <t>Kota</t>
  </si>
  <si>
    <t>Total Omzet (Rp)</t>
  </si>
  <si>
    <t>Rata-rata Harian (Rp)</t>
  </si>
  <si>
    <t>Jakarta Selatan</t>
  </si>
  <si>
    <t>Tangerang Selatan</t>
  </si>
  <si>
    <t>Bandung</t>
  </si>
  <si>
    <t>Surabaya</t>
  </si>
  <si>
    <t>Yogyakarta</t>
  </si>
  <si>
    <t>TOTAL SEMUA CABANG</t>
  </si>
  <si>
    <t>Rekap Penjualan per Kategori Menu — Agustus 2026</t>
  </si>
  <si>
    <t>Kategori Menu</t>
  </si>
  <si>
    <t>Makanan Utama</t>
  </si>
  <si>
    <t>Minuman</t>
  </si>
  <si>
    <t>Snack &amp; Appetizer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</si>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</sst>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B2118"/>
      <sz val="14"/>
    </font>
    <font>
      <i/>
      <color rgb="FF666666"/>
      <sz val="10"/>
    </font>
    <font>
      <b/>
      <color rgb="FFFFFFFF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5D2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10" fontId="0" fillId="0" borderId="1" xfId="0" applyNumberFormat="1" applyBorder="1"/>
    <xf numFmtId="0" fontId="4" fillId="0" borderId="0" xfId="0" applyFont="1"/>
    <xf numFmtId="3" fontId="4" fillId="0" borderId="1" xfId="0" applyNumberFormat="1" applyFont="1" applyBorder="1"/>
    <xf numFmtId="0" fontId="5" fillId="0" borderId="0" xfId="0" applyFont="1"/>
    <xf numFmtId="3" fontId="5" fillId="0" borderId="0" xfId="0" applyNumberFormat="1" applyFont="1"/>
    <xf numFmtId="10" fontId="0" fillId="0" borderId="0" xfId="0" applyNumberForma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2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12005521</v>
      </c>
      <c r="E5" s="5">
        <v>6542403</v>
      </c>
      <c r="F5" s="5">
        <v>3196001</v>
      </c>
      <c r="G5" s="5">
        <v>2173846</v>
      </c>
      <c r="H5" s="5">
        <f>SUM(D5:G5)</f>
        <v>23917771</v>
      </c>
      <c r="I5" s="6">
        <f>H5/$H$160</f>
        <v>0.010851160897189033</v>
      </c>
    </row>
    <row r="6" spans="1:9" x14ac:dyDescent="0.25">
      <c r="A6" s="4" t="s">
        <v>14</v>
      </c>
      <c r="B6" s="4" t="s">
        <v>15</v>
      </c>
      <c r="C6" s="4" t="s">
        <v>13</v>
      </c>
      <c r="D6" s="5">
        <v>11325177</v>
      </c>
      <c r="E6" s="5">
        <v>6807967</v>
      </c>
      <c r="F6" s="5">
        <v>3709559</v>
      </c>
      <c r="G6" s="5">
        <v>2406924</v>
      </c>
      <c r="H6" s="5">
        <f>SUM(D6:G6)</f>
        <v>24249627</v>
      </c>
      <c r="I6" s="6">
        <f>H6/$H$160</f>
        <v>0.011001719360630194</v>
      </c>
    </row>
    <row r="7" spans="1:9" x14ac:dyDescent="0.25">
      <c r="A7" s="4" t="s">
        <v>16</v>
      </c>
      <c r="B7" s="4" t="s">
        <v>17</v>
      </c>
      <c r="C7" s="4" t="s">
        <v>13</v>
      </c>
      <c r="D7" s="5">
        <v>8539522</v>
      </c>
      <c r="E7" s="5">
        <v>4816693</v>
      </c>
      <c r="F7" s="5">
        <v>3067357</v>
      </c>
      <c r="G7" s="5">
        <v>2029620</v>
      </c>
      <c r="H7" s="5">
        <f>SUM(D7:G7)</f>
        <v>18453192</v>
      </c>
      <c r="I7" s="6">
        <f>H7/$H$160</f>
        <v>0.008371957213685234</v>
      </c>
    </row>
    <row r="8" spans="1:9" x14ac:dyDescent="0.25">
      <c r="A8" s="4" t="s">
        <v>18</v>
      </c>
      <c r="B8" s="4" t="s">
        <v>19</v>
      </c>
      <c r="C8" s="4" t="s">
        <v>13</v>
      </c>
      <c r="D8" s="5">
        <v>9312869</v>
      </c>
      <c r="E8" s="5">
        <v>4970410</v>
      </c>
      <c r="F8" s="5">
        <v>2818499</v>
      </c>
      <c r="G8" s="5">
        <v>1630541</v>
      </c>
      <c r="H8" s="5">
        <f>SUM(D8:G8)</f>
        <v>18732319</v>
      </c>
      <c r="I8" s="6">
        <f>H8/$H$160</f>
        <v>0.00849859326132319</v>
      </c>
    </row>
    <row r="9" spans="1:9" x14ac:dyDescent="0.25">
      <c r="A9" s="4" t="s">
        <v>20</v>
      </c>
      <c r="B9" s="4" t="s">
        <v>21</v>
      </c>
      <c r="C9" s="4" t="s">
        <v>13</v>
      </c>
      <c r="D9" s="5">
        <v>8861217</v>
      </c>
      <c r="E9" s="5">
        <v>5111007</v>
      </c>
      <c r="F9" s="5">
        <v>2652668</v>
      </c>
      <c r="G9" s="5">
        <v>1622718</v>
      </c>
      <c r="H9" s="5">
        <f>SUM(D9:G9)</f>
        <v>18247610</v>
      </c>
      <c r="I9" s="6">
        <f>H9/$H$160</f>
        <v>0.008278687512275102</v>
      </c>
    </row>
    <row r="10" spans="1:9" x14ac:dyDescent="0.25">
      <c r="A10" s="4" t="s">
        <v>22</v>
      </c>
      <c r="B10" s="4" t="s">
        <v>23</v>
      </c>
      <c r="C10" s="4" t="s">
        <v>13</v>
      </c>
      <c r="D10" s="5">
        <v>8231125</v>
      </c>
      <c r="E10" s="5">
        <v>5173986</v>
      </c>
      <c r="F10" s="5">
        <v>2308099</v>
      </c>
      <c r="G10" s="5">
        <v>1897981</v>
      </c>
      <c r="H10" s="5">
        <f>SUM(D10:G10)</f>
        <v>17611191</v>
      </c>
      <c r="I10" s="6">
        <f>H10/$H$160</f>
        <v>0.007989953040863525</v>
      </c>
    </row>
    <row r="11" spans="1:9" x14ac:dyDescent="0.25">
      <c r="A11" s="4" t="s">
        <v>24</v>
      </c>
      <c r="B11" s="4" t="s">
        <v>25</v>
      </c>
      <c r="C11" s="4" t="s">
        <v>13</v>
      </c>
      <c r="D11" s="5">
        <v>10883495</v>
      </c>
      <c r="E11" s="5">
        <v>5699079</v>
      </c>
      <c r="F11" s="5">
        <v>3856370</v>
      </c>
      <c r="G11" s="5">
        <v>2368101</v>
      </c>
      <c r="H11" s="5">
        <f>SUM(D11:G11)</f>
        <v>22807045</v>
      </c>
      <c r="I11" s="6">
        <f>H11/$H$160</f>
        <v>0.010347239919824914</v>
      </c>
    </row>
    <row r="12" spans="1:9" x14ac:dyDescent="0.25">
      <c r="A12" s="4" t="s">
        <v>26</v>
      </c>
      <c r="B12" s="4" t="s">
        <v>12</v>
      </c>
      <c r="C12" s="4" t="s">
        <v>13</v>
      </c>
      <c r="D12" s="5">
        <v>12010876</v>
      </c>
      <c r="E12" s="5">
        <v>6606157</v>
      </c>
      <c r="F12" s="5">
        <v>3542973</v>
      </c>
      <c r="G12" s="5">
        <v>2231364</v>
      </c>
      <c r="H12" s="5">
        <f>SUM(D12:G12)</f>
        <v>24391370</v>
      </c>
      <c r="I12" s="6">
        <f>H12/$H$160</f>
        <v>0.01106602619336349</v>
      </c>
    </row>
    <row r="13" spans="1:9" x14ac:dyDescent="0.25">
      <c r="A13" s="4" t="s">
        <v>27</v>
      </c>
      <c r="B13" s="4" t="s">
        <v>15</v>
      </c>
      <c r="C13" s="4" t="s">
        <v>13</v>
      </c>
      <c r="D13" s="5">
        <v>11115950</v>
      </c>
      <c r="E13" s="5">
        <v>6820564</v>
      </c>
      <c r="F13" s="5">
        <v>3534032</v>
      </c>
      <c r="G13" s="5">
        <v>2211947</v>
      </c>
      <c r="H13" s="5">
        <f>SUM(D13:G13)</f>
        <v>23682493</v>
      </c>
      <c r="I13" s="6">
        <f>H13/$H$160</f>
        <v>0.0107444185325444</v>
      </c>
    </row>
    <row r="14" spans="1:9" x14ac:dyDescent="0.25">
      <c r="A14" s="4" t="s">
        <v>28</v>
      </c>
      <c r="B14" s="4" t="s">
        <v>17</v>
      </c>
      <c r="C14" s="4" t="s">
        <v>13</v>
      </c>
      <c r="D14" s="5">
        <v>9359855</v>
      </c>
      <c r="E14" s="5">
        <v>4728890</v>
      </c>
      <c r="F14" s="5">
        <v>2674969</v>
      </c>
      <c r="G14" s="5">
        <v>1661521</v>
      </c>
      <c r="H14" s="5">
        <f>SUM(D14:G14)</f>
        <v>18425235</v>
      </c>
      <c r="I14" s="6">
        <f>H14/$H$160</f>
        <v>0.008359273510626002</v>
      </c>
    </row>
    <row r="15" spans="1:9" x14ac:dyDescent="0.25">
      <c r="A15" s="4" t="s">
        <v>29</v>
      </c>
      <c r="B15" s="4" t="s">
        <v>19</v>
      </c>
      <c r="C15" s="4" t="s">
        <v>13</v>
      </c>
      <c r="D15" s="5">
        <v>9993767</v>
      </c>
      <c r="E15" s="5">
        <v>4872847</v>
      </c>
      <c r="F15" s="5">
        <v>2921550</v>
      </c>
      <c r="G15" s="5">
        <v>2009098</v>
      </c>
      <c r="H15" s="5">
        <f>SUM(D15:G15)</f>
        <v>19797262</v>
      </c>
      <c r="I15" s="6">
        <f>H15/$H$160</f>
        <v>0.008981743126723906</v>
      </c>
    </row>
    <row r="16" spans="1:9" x14ac:dyDescent="0.25">
      <c r="A16" s="4" t="s">
        <v>30</v>
      </c>
      <c r="B16" s="4" t="s">
        <v>21</v>
      </c>
      <c r="C16" s="4" t="s">
        <v>13</v>
      </c>
      <c r="D16" s="5">
        <v>8713877</v>
      </c>
      <c r="E16" s="5">
        <v>5150018</v>
      </c>
      <c r="F16" s="5">
        <v>3138514</v>
      </c>
      <c r="G16" s="5">
        <v>2143167</v>
      </c>
      <c r="H16" s="5">
        <f>SUM(D16:G16)</f>
        <v>19145576</v>
      </c>
      <c r="I16" s="6">
        <f>H16/$H$160</f>
        <v>0.008686082229207765</v>
      </c>
    </row>
    <row r="17" spans="1:9" x14ac:dyDescent="0.25">
      <c r="A17" s="4" t="s">
        <v>31</v>
      </c>
      <c r="B17" s="4" t="s">
        <v>23</v>
      </c>
      <c r="C17" s="4" t="s">
        <v>13</v>
      </c>
      <c r="D17" s="5">
        <v>9135613</v>
      </c>
      <c r="E17" s="5">
        <v>4764326</v>
      </c>
      <c r="F17" s="5">
        <v>2953283</v>
      </c>
      <c r="G17" s="5">
        <v>1787517</v>
      </c>
      <c r="H17" s="5">
        <f>SUM(D17:G17)</f>
        <v>18640739</v>
      </c>
      <c r="I17" s="6">
        <f>H17/$H$160</f>
        <v>0.008457044685790603</v>
      </c>
    </row>
    <row r="18" spans="1:9" x14ac:dyDescent="0.25">
      <c r="A18" s="4" t="s">
        <v>32</v>
      </c>
      <c r="B18" s="4" t="s">
        <v>25</v>
      </c>
      <c r="C18" s="4" t="s">
        <v>13</v>
      </c>
      <c r="D18" s="5">
        <v>11986769</v>
      </c>
      <c r="E18" s="5">
        <v>7186087</v>
      </c>
      <c r="F18" s="5">
        <v>3290418</v>
      </c>
      <c r="G18" s="5">
        <v>2396468</v>
      </c>
      <c r="H18" s="5">
        <f>SUM(D18:G18)</f>
        <v>24859742</v>
      </c>
      <c r="I18" s="6">
        <f>H18/$H$160</f>
        <v>0.011278520072150867</v>
      </c>
    </row>
    <row r="19" spans="1:9" x14ac:dyDescent="0.25">
      <c r="A19" s="4" t="s">
        <v>33</v>
      </c>
      <c r="B19" s="4" t="s">
        <v>12</v>
      </c>
      <c r="C19" s="4" t="s">
        <v>13</v>
      </c>
      <c r="D19" s="5">
        <v>12627002</v>
      </c>
      <c r="E19" s="5">
        <v>6580071</v>
      </c>
      <c r="F19" s="5">
        <v>3417561</v>
      </c>
      <c r="G19" s="5">
        <v>2253490</v>
      </c>
      <c r="H19" s="5">
        <f>SUM(D19:G19)</f>
        <v>24878124</v>
      </c>
      <c r="I19" s="6">
        <f>H19/$H$160</f>
        <v>0.011286859730541781</v>
      </c>
    </row>
    <row r="20" spans="1:9" x14ac:dyDescent="0.25">
      <c r="A20" s="4" t="s">
        <v>34</v>
      </c>
      <c r="B20" s="4" t="s">
        <v>15</v>
      </c>
      <c r="C20" s="4" t="s">
        <v>13</v>
      </c>
      <c r="D20" s="5">
        <v>12490053</v>
      </c>
      <c r="E20" s="5">
        <v>6119225</v>
      </c>
      <c r="F20" s="5">
        <v>3196384</v>
      </c>
      <c r="G20" s="5">
        <v>2554874</v>
      </c>
      <c r="H20" s="5">
        <f>SUM(D20:G20)</f>
        <v>24360536</v>
      </c>
      <c r="I20" s="6">
        <f>H20/$H$160</f>
        <v>0.01105203723531619</v>
      </c>
    </row>
    <row r="21" spans="1:9" x14ac:dyDescent="0.25">
      <c r="A21" s="4" t="s">
        <v>35</v>
      </c>
      <c r="B21" s="4" t="s">
        <v>17</v>
      </c>
      <c r="C21" s="4" t="s">
        <v>13</v>
      </c>
      <c r="D21" s="5">
        <v>9306775</v>
      </c>
      <c r="E21" s="5">
        <v>4764150</v>
      </c>
      <c r="F21" s="5">
        <v>2787925</v>
      </c>
      <c r="G21" s="5">
        <v>2206537</v>
      </c>
      <c r="H21" s="5">
        <f>SUM(D21:G21)</f>
        <v>19065387</v>
      </c>
      <c r="I21" s="6">
        <f>H21/$H$160</f>
        <v>0.008649701592350564</v>
      </c>
    </row>
    <row r="22" spans="1:9" x14ac:dyDescent="0.25">
      <c r="A22" s="4" t="s">
        <v>36</v>
      </c>
      <c r="B22" s="4" t="s">
        <v>19</v>
      </c>
      <c r="C22" s="4" t="s">
        <v>13</v>
      </c>
      <c r="D22" s="5">
        <v>9185895</v>
      </c>
      <c r="E22" s="5">
        <v>5209279</v>
      </c>
      <c r="F22" s="5">
        <v>2731195</v>
      </c>
      <c r="G22" s="5">
        <v>1651803</v>
      </c>
      <c r="H22" s="5">
        <f>SUM(D22:G22)</f>
        <v>18778172</v>
      </c>
      <c r="I22" s="6">
        <f>H22/$H$160</f>
        <v>0.008519396131315497</v>
      </c>
    </row>
    <row r="23" spans="1:9" x14ac:dyDescent="0.25">
      <c r="A23" s="4" t="s">
        <v>37</v>
      </c>
      <c r="B23" s="4" t="s">
        <v>21</v>
      </c>
      <c r="C23" s="4" t="s">
        <v>13</v>
      </c>
      <c r="D23" s="5">
        <v>9859452</v>
      </c>
      <c r="E23" s="5">
        <v>4824160</v>
      </c>
      <c r="F23" s="5">
        <v>3080831</v>
      </c>
      <c r="G23" s="5">
        <v>2090543</v>
      </c>
      <c r="H23" s="5">
        <f>SUM(D23:G23)</f>
        <v>19854986</v>
      </c>
      <c r="I23" s="6">
        <f>H23/$H$160</f>
        <v>0.009007931704732674</v>
      </c>
    </row>
    <row r="24" spans="1:9" x14ac:dyDescent="0.25">
      <c r="A24" s="4" t="s">
        <v>38</v>
      </c>
      <c r="B24" s="4" t="s">
        <v>23</v>
      </c>
      <c r="C24" s="4" t="s">
        <v>13</v>
      </c>
      <c r="D24" s="5">
        <v>8992548</v>
      </c>
      <c r="E24" s="5">
        <v>4943727</v>
      </c>
      <c r="F24" s="5">
        <v>2773611</v>
      </c>
      <c r="G24" s="5">
        <v>1885510</v>
      </c>
      <c r="H24" s="5">
        <f>SUM(D24:G24)</f>
        <v>18595396</v>
      </c>
      <c r="I24" s="6">
        <f>H24/$H$160</f>
        <v>0.008436473195723188</v>
      </c>
    </row>
    <row r="25" spans="1:9" x14ac:dyDescent="0.25">
      <c r="A25" s="4" t="s">
        <v>39</v>
      </c>
      <c r="B25" s="4" t="s">
        <v>25</v>
      </c>
      <c r="C25" s="4" t="s">
        <v>13</v>
      </c>
      <c r="D25" s="5">
        <v>11935057</v>
      </c>
      <c r="E25" s="5">
        <v>6931847</v>
      </c>
      <c r="F25" s="5">
        <v>3830630</v>
      </c>
      <c r="G25" s="5">
        <v>2510784</v>
      </c>
      <c r="H25" s="5">
        <f>SUM(D25:G25)</f>
        <v>25208318</v>
      </c>
      <c r="I25" s="6">
        <f>H25/$H$160</f>
        <v>0.011436664167639471</v>
      </c>
    </row>
    <row r="26" spans="1:9" x14ac:dyDescent="0.25">
      <c r="A26" s="4" t="s">
        <v>40</v>
      </c>
      <c r="B26" s="4" t="s">
        <v>12</v>
      </c>
      <c r="C26" s="4" t="s">
        <v>13</v>
      </c>
      <c r="D26" s="5">
        <v>12097801</v>
      </c>
      <c r="E26" s="5">
        <v>6895870</v>
      </c>
      <c r="F26" s="5">
        <v>3628172</v>
      </c>
      <c r="G26" s="5">
        <v>2254472</v>
      </c>
      <c r="H26" s="5">
        <f>SUM(D26:G26)</f>
        <v>24876315</v>
      </c>
      <c r="I26" s="6">
        <f>H26/$H$160</f>
        <v>0.011286039012337604</v>
      </c>
    </row>
    <row r="27" spans="1:9" x14ac:dyDescent="0.25">
      <c r="A27" s="4" t="s">
        <v>41</v>
      </c>
      <c r="B27" s="4" t="s">
        <v>15</v>
      </c>
      <c r="C27" s="4" t="s">
        <v>13</v>
      </c>
      <c r="D27" s="5">
        <v>12562574</v>
      </c>
      <c r="E27" s="5">
        <v>5918614</v>
      </c>
      <c r="F27" s="5">
        <v>3306692</v>
      </c>
      <c r="G27" s="5">
        <v>2719012</v>
      </c>
      <c r="H27" s="5">
        <f>SUM(D27:G27)</f>
        <v>24506892</v>
      </c>
      <c r="I27" s="6">
        <f>H27/$H$160</f>
        <v>0.01111843692215444</v>
      </c>
    </row>
    <row r="28" spans="1:9" x14ac:dyDescent="0.25">
      <c r="A28" s="4" t="s">
        <v>42</v>
      </c>
      <c r="B28" s="4" t="s">
        <v>17</v>
      </c>
      <c r="C28" s="4" t="s">
        <v>13</v>
      </c>
      <c r="D28" s="5">
        <v>8703571</v>
      </c>
      <c r="E28" s="5">
        <v>5748420</v>
      </c>
      <c r="F28" s="5">
        <v>2980044</v>
      </c>
      <c r="G28" s="5">
        <v>1859000</v>
      </c>
      <c r="H28" s="5">
        <f>SUM(D28:G28)</f>
        <v>19291035</v>
      </c>
      <c r="I28" s="6">
        <f>H28/$H$160</f>
        <v>0.008752074959589882</v>
      </c>
    </row>
    <row r="29" spans="1:9" x14ac:dyDescent="0.25">
      <c r="A29" s="4" t="s">
        <v>43</v>
      </c>
      <c r="B29" s="4" t="s">
        <v>19</v>
      </c>
      <c r="C29" s="4" t="s">
        <v>13</v>
      </c>
      <c r="D29" s="5">
        <v>8553423</v>
      </c>
      <c r="E29" s="5">
        <v>4387547</v>
      </c>
      <c r="F29" s="5">
        <v>2945819</v>
      </c>
      <c r="G29" s="5">
        <v>1657940</v>
      </c>
      <c r="H29" s="5">
        <f>SUM(D29:G29)</f>
        <v>17544729</v>
      </c>
      <c r="I29" s="6">
        <f>H29/$H$160</f>
        <v>0.007959800153474939</v>
      </c>
    </row>
    <row r="30" spans="1:9" x14ac:dyDescent="0.25">
      <c r="A30" s="4" t="s">
        <v>44</v>
      </c>
      <c r="B30" s="4" t="s">
        <v>21</v>
      </c>
      <c r="C30" s="4" t="s">
        <v>13</v>
      </c>
      <c r="D30" s="5">
        <v>9758043</v>
      </c>
      <c r="E30" s="5">
        <v>5302969</v>
      </c>
      <c r="F30" s="5">
        <v>2611078</v>
      </c>
      <c r="G30" s="5">
        <v>1829086</v>
      </c>
      <c r="H30" s="5">
        <f>SUM(D30:G30)</f>
        <v>19501176</v>
      </c>
      <c r="I30" s="6">
        <f>H30/$H$160</f>
        <v>0.008847413016054097</v>
      </c>
    </row>
    <row r="31" spans="1:9" x14ac:dyDescent="0.25">
      <c r="A31" s="4" t="s">
        <v>45</v>
      </c>
      <c r="B31" s="4" t="s">
        <v>23</v>
      </c>
      <c r="C31" s="4" t="s">
        <v>13</v>
      </c>
      <c r="D31" s="5">
        <v>9209344</v>
      </c>
      <c r="E31" s="5">
        <v>4720409</v>
      </c>
      <c r="F31" s="5">
        <v>2631837</v>
      </c>
      <c r="G31" s="5">
        <v>1805968</v>
      </c>
      <c r="H31" s="5">
        <f>SUM(D31:G31)</f>
        <v>18367558</v>
      </c>
      <c r="I31" s="6">
        <f>H31/$H$160</f>
        <v>0.008333106255865214</v>
      </c>
    </row>
    <row r="32" spans="1:9" x14ac:dyDescent="0.25">
      <c r="A32" s="4" t="s">
        <v>46</v>
      </c>
      <c r="B32" s="4" t="s">
        <v>25</v>
      </c>
      <c r="C32" s="4" t="s">
        <v>13</v>
      </c>
      <c r="D32" s="5">
        <v>11982992</v>
      </c>
      <c r="E32" s="5">
        <v>6216757</v>
      </c>
      <c r="F32" s="5">
        <v>3535059</v>
      </c>
      <c r="G32" s="5">
        <v>2214215</v>
      </c>
      <c r="H32" s="5">
        <f>SUM(D32:G32)</f>
        <v>23949023</v>
      </c>
      <c r="I32" s="6">
        <f>H32/$H$160</f>
        <v>0.01086533949603752</v>
      </c>
    </row>
    <row r="33" spans="1:9" x14ac:dyDescent="0.25">
      <c r="A33" s="4" t="s">
        <v>47</v>
      </c>
      <c r="B33" s="4" t="s">
        <v>12</v>
      </c>
      <c r="C33" s="4" t="s">
        <v>13</v>
      </c>
      <c r="D33" s="5">
        <v>11462904</v>
      </c>
      <c r="E33" s="5">
        <v>6431326</v>
      </c>
      <c r="F33" s="5">
        <v>3167764</v>
      </c>
      <c r="G33" s="5">
        <v>2178274</v>
      </c>
      <c r="H33" s="5">
        <f>SUM(D33:G33)</f>
        <v>23240268</v>
      </c>
      <c r="I33" s="6">
        <f>H33/$H$160</f>
        <v>0.010543787184925952</v>
      </c>
    </row>
    <row r="34" spans="1:9" x14ac:dyDescent="0.25">
      <c r="A34" s="4" t="s">
        <v>48</v>
      </c>
      <c r="B34" s="4" t="s">
        <v>15</v>
      </c>
      <c r="C34" s="4" t="s">
        <v>13</v>
      </c>
      <c r="D34" s="5">
        <v>11787665</v>
      </c>
      <c r="E34" s="5">
        <v>7519594</v>
      </c>
      <c r="F34" s="5">
        <v>3601172</v>
      </c>
      <c r="G34" s="5">
        <v>2663878</v>
      </c>
      <c r="H34" s="5">
        <f>SUM(D34:G34)</f>
        <v>25572309</v>
      </c>
      <c r="I34" s="6">
        <f>H34/$H$160</f>
        <v>0.01160180183477947</v>
      </c>
    </row>
    <row r="35" spans="1:9" x14ac:dyDescent="0.25">
      <c r="A35" s="4" t="s">
        <v>49</v>
      </c>
      <c r="B35" s="4" t="s">
        <v>17</v>
      </c>
      <c r="C35" s="4" t="s">
        <v>13</v>
      </c>
      <c r="D35" s="5">
        <v>9534440</v>
      </c>
      <c r="E35" s="5">
        <v>5064046</v>
      </c>
      <c r="F35" s="5">
        <v>2987414</v>
      </c>
      <c r="G35" s="5">
        <v>1930076</v>
      </c>
      <c r="H35" s="5">
        <f>SUM(D35:G35)</f>
        <v>19515976</v>
      </c>
      <c r="I35" s="6">
        <f>H35/$H$160</f>
        <v>0.008854127570737242</v>
      </c>
    </row>
    <row r="36" spans="1:9" x14ac:dyDescent="0.25">
      <c r="A36" s="4" t="s">
        <v>11</v>
      </c>
      <c r="B36" s="4" t="s">
        <v>12</v>
      </c>
      <c r="C36" s="4" t="s">
        <v>50</v>
      </c>
      <c r="D36" s="5">
        <v>9058437</v>
      </c>
      <c r="E36" s="5">
        <v>4816758</v>
      </c>
      <c r="F36" s="5">
        <v>2897838</v>
      </c>
      <c r="G36" s="5">
        <v>1835536</v>
      </c>
      <c r="H36" s="5">
        <f>SUM(D36:G36)</f>
        <v>18608569</v>
      </c>
      <c r="I36" s="6">
        <f>H36/$H$160</f>
        <v>0.008442449603077311</v>
      </c>
    </row>
    <row r="37" spans="1:9" x14ac:dyDescent="0.25">
      <c r="A37" s="4" t="s">
        <v>14</v>
      </c>
      <c r="B37" s="4" t="s">
        <v>15</v>
      </c>
      <c r="C37" s="4" t="s">
        <v>50</v>
      </c>
      <c r="D37" s="5">
        <v>8074328</v>
      </c>
      <c r="E37" s="5">
        <v>5166629</v>
      </c>
      <c r="F37" s="5">
        <v>2857227</v>
      </c>
      <c r="G37" s="5">
        <v>1769554</v>
      </c>
      <c r="H37" s="5">
        <f>SUM(D37:G37)</f>
        <v>17867738</v>
      </c>
      <c r="I37" s="6">
        <f>H37/$H$160</f>
        <v>0.008106344855748413</v>
      </c>
    </row>
    <row r="38" spans="1:9" x14ac:dyDescent="0.25">
      <c r="A38" s="4" t="s">
        <v>16</v>
      </c>
      <c r="B38" s="4" t="s">
        <v>17</v>
      </c>
      <c r="C38" s="4" t="s">
        <v>50</v>
      </c>
      <c r="D38" s="5">
        <v>7038575</v>
      </c>
      <c r="E38" s="5">
        <v>4198393</v>
      </c>
      <c r="F38" s="5">
        <v>2091081</v>
      </c>
      <c r="G38" s="5">
        <v>1537566</v>
      </c>
      <c r="H38" s="5">
        <f>SUM(D38:G38)</f>
        <v>14865615</v>
      </c>
      <c r="I38" s="6">
        <f>H38/$H$160</f>
        <v>0.006744323298382059</v>
      </c>
    </row>
    <row r="39" spans="1:9" x14ac:dyDescent="0.25">
      <c r="A39" s="4" t="s">
        <v>18</v>
      </c>
      <c r="B39" s="4" t="s">
        <v>19</v>
      </c>
      <c r="C39" s="4" t="s">
        <v>50</v>
      </c>
      <c r="D39" s="5">
        <v>7380826</v>
      </c>
      <c r="E39" s="5">
        <v>4136284</v>
      </c>
      <c r="F39" s="5">
        <v>2133348</v>
      </c>
      <c r="G39" s="5">
        <v>1432572</v>
      </c>
      <c r="H39" s="5">
        <f>SUM(D39:G39)</f>
        <v>15083030</v>
      </c>
      <c r="I39" s="6">
        <f>H39/$H$160</f>
        <v>0.006842961467735815</v>
      </c>
    </row>
    <row r="40" spans="1:9" x14ac:dyDescent="0.25">
      <c r="A40" s="4" t="s">
        <v>20</v>
      </c>
      <c r="B40" s="4" t="s">
        <v>21</v>
      </c>
      <c r="C40" s="4" t="s">
        <v>50</v>
      </c>
      <c r="D40" s="5">
        <v>6816630</v>
      </c>
      <c r="E40" s="5">
        <v>4072713</v>
      </c>
      <c r="F40" s="5">
        <v>1884566</v>
      </c>
      <c r="G40" s="5">
        <v>1315966</v>
      </c>
      <c r="H40" s="5">
        <f>SUM(D40:G40)</f>
        <v>14089875</v>
      </c>
      <c r="I40" s="6">
        <f>H40/$H$160</f>
        <v>0.0063923808220373605</v>
      </c>
    </row>
    <row r="41" spans="1:9" x14ac:dyDescent="0.25">
      <c r="A41" s="4" t="s">
        <v>22</v>
      </c>
      <c r="B41" s="4" t="s">
        <v>23</v>
      </c>
      <c r="C41" s="4" t="s">
        <v>50</v>
      </c>
      <c r="D41" s="5">
        <v>7062546</v>
      </c>
      <c r="E41" s="5">
        <v>3872007</v>
      </c>
      <c r="F41" s="5">
        <v>2127109</v>
      </c>
      <c r="G41" s="5">
        <v>1338917</v>
      </c>
      <c r="H41" s="5">
        <f>SUM(D41:G41)</f>
        <v>14400579</v>
      </c>
      <c r="I41" s="6">
        <f>H41/$H$160</f>
        <v>0.006533342916515153</v>
      </c>
    </row>
    <row r="42" spans="1:9" x14ac:dyDescent="0.25">
      <c r="A42" s="4" t="s">
        <v>24</v>
      </c>
      <c r="B42" s="4" t="s">
        <v>25</v>
      </c>
      <c r="C42" s="4" t="s">
        <v>50</v>
      </c>
      <c r="D42" s="5">
        <v>9400876</v>
      </c>
      <c r="E42" s="5">
        <v>4345765</v>
      </c>
      <c r="F42" s="5">
        <v>2410176</v>
      </c>
      <c r="G42" s="5">
        <v>1796224</v>
      </c>
      <c r="H42" s="5">
        <f>SUM(D42:G42)</f>
        <v>17953041</v>
      </c>
      <c r="I42" s="6">
        <f>H42/$H$160</f>
        <v>0.008145045643460316</v>
      </c>
    </row>
    <row r="43" spans="1:9" x14ac:dyDescent="0.25">
      <c r="A43" s="4" t="s">
        <v>26</v>
      </c>
      <c r="B43" s="4" t="s">
        <v>12</v>
      </c>
      <c r="C43" s="4" t="s">
        <v>50</v>
      </c>
      <c r="D43" s="5">
        <v>9142560</v>
      </c>
      <c r="E43" s="5">
        <v>5223184</v>
      </c>
      <c r="F43" s="5">
        <v>2792946</v>
      </c>
      <c r="G43" s="5">
        <v>1830777</v>
      </c>
      <c r="H43" s="5">
        <f>SUM(D43:G43)</f>
        <v>18989467</v>
      </c>
      <c r="I43" s="6">
        <f>H43/$H$160</f>
        <v>0.008615257741570547</v>
      </c>
    </row>
    <row r="44" spans="1:9" x14ac:dyDescent="0.25">
      <c r="A44" s="4" t="s">
        <v>27</v>
      </c>
      <c r="B44" s="4" t="s">
        <v>15</v>
      </c>
      <c r="C44" s="4" t="s">
        <v>50</v>
      </c>
      <c r="D44" s="5">
        <v>9707879</v>
      </c>
      <c r="E44" s="5">
        <v>4774718</v>
      </c>
      <c r="F44" s="5">
        <v>3002912</v>
      </c>
      <c r="G44" s="5">
        <v>2013601</v>
      </c>
      <c r="H44" s="5">
        <f>SUM(D44:G44)</f>
        <v>19499110</v>
      </c>
      <c r="I44" s="6">
        <f>H44/$H$160</f>
        <v>0.008846475700515222</v>
      </c>
    </row>
    <row r="45" spans="1:9" x14ac:dyDescent="0.25">
      <c r="A45" s="4" t="s">
        <v>28</v>
      </c>
      <c r="B45" s="4" t="s">
        <v>17</v>
      </c>
      <c r="C45" s="4" t="s">
        <v>50</v>
      </c>
      <c r="D45" s="5">
        <v>7498021</v>
      </c>
      <c r="E45" s="5">
        <v>3470067</v>
      </c>
      <c r="F45" s="5">
        <v>2037904</v>
      </c>
      <c r="G45" s="5">
        <v>1472111</v>
      </c>
      <c r="H45" s="5">
        <f>SUM(D45:G45)</f>
        <v>14478103</v>
      </c>
      <c r="I45" s="6">
        <f>H45/$H$160</f>
        <v>0.006568514479843262</v>
      </c>
    </row>
    <row r="46" spans="1:9" x14ac:dyDescent="0.25">
      <c r="A46" s="4" t="s">
        <v>29</v>
      </c>
      <c r="B46" s="4" t="s">
        <v>19</v>
      </c>
      <c r="C46" s="4" t="s">
        <v>50</v>
      </c>
      <c r="D46" s="5">
        <v>6490496</v>
      </c>
      <c r="E46" s="5">
        <v>4047732</v>
      </c>
      <c r="F46" s="5">
        <v>2160249</v>
      </c>
      <c r="G46" s="5">
        <v>1462497</v>
      </c>
      <c r="H46" s="5">
        <f>SUM(D46:G46)</f>
        <v>14160974</v>
      </c>
      <c r="I46" s="6">
        <f>H46/$H$160</f>
        <v>0.006424637451997955</v>
      </c>
    </row>
    <row r="47" spans="1:9" x14ac:dyDescent="0.25">
      <c r="A47" s="4" t="s">
        <v>30</v>
      </c>
      <c r="B47" s="4" t="s">
        <v>21</v>
      </c>
      <c r="C47" s="4" t="s">
        <v>50</v>
      </c>
      <c r="D47" s="5">
        <v>6890434</v>
      </c>
      <c r="E47" s="5">
        <v>3359185</v>
      </c>
      <c r="F47" s="5">
        <v>1979404</v>
      </c>
      <c r="G47" s="5">
        <v>1328193</v>
      </c>
      <c r="H47" s="5">
        <f>SUM(D47:G47)</f>
        <v>13557216</v>
      </c>
      <c r="I47" s="6">
        <f>H47/$H$160</f>
        <v>0.006150720823188144</v>
      </c>
    </row>
    <row r="48" spans="1:9" x14ac:dyDescent="0.25">
      <c r="A48" s="4" t="s">
        <v>31</v>
      </c>
      <c r="B48" s="4" t="s">
        <v>23</v>
      </c>
      <c r="C48" s="4" t="s">
        <v>50</v>
      </c>
      <c r="D48" s="5">
        <v>6788556</v>
      </c>
      <c r="E48" s="5">
        <v>3446133</v>
      </c>
      <c r="F48" s="5">
        <v>1792795</v>
      </c>
      <c r="G48" s="5">
        <v>1353650</v>
      </c>
      <c r="H48" s="5">
        <f>SUM(D48:G48)</f>
        <v>13381134</v>
      </c>
      <c r="I48" s="6">
        <f>H48/$H$160</f>
        <v>0.006070834862531575</v>
      </c>
    </row>
    <row r="49" spans="1:9" x14ac:dyDescent="0.25">
      <c r="A49" s="4" t="s">
        <v>32</v>
      </c>
      <c r="B49" s="4" t="s">
        <v>25</v>
      </c>
      <c r="C49" s="4" t="s">
        <v>50</v>
      </c>
      <c r="D49" s="5">
        <v>8442092</v>
      </c>
      <c r="E49" s="5">
        <v>5050743</v>
      </c>
      <c r="F49" s="5">
        <v>2890538</v>
      </c>
      <c r="G49" s="5">
        <v>2004205</v>
      </c>
      <c r="H49" s="5">
        <f>SUM(D49:G49)</f>
        <v>18387578</v>
      </c>
      <c r="I49" s="6">
        <f>H49/$H$160</f>
        <v>0.008342189052132548</v>
      </c>
    </row>
    <row r="50" spans="1:9" x14ac:dyDescent="0.25">
      <c r="A50" s="4" t="s">
        <v>33</v>
      </c>
      <c r="B50" s="4" t="s">
        <v>12</v>
      </c>
      <c r="C50" s="4" t="s">
        <v>50</v>
      </c>
      <c r="D50" s="5">
        <v>8871470</v>
      </c>
      <c r="E50" s="5">
        <v>5275494</v>
      </c>
      <c r="F50" s="5">
        <v>2436131</v>
      </c>
      <c r="G50" s="5">
        <v>1731354</v>
      </c>
      <c r="H50" s="5">
        <f>SUM(D50:G50)</f>
        <v>18314449</v>
      </c>
      <c r="I50" s="6">
        <f>H50/$H$160</f>
        <v>0.008309011439333656</v>
      </c>
    </row>
    <row r="51" spans="1:9" x14ac:dyDescent="0.25">
      <c r="A51" s="4" t="s">
        <v>34</v>
      </c>
      <c r="B51" s="4" t="s">
        <v>15</v>
      </c>
      <c r="C51" s="4" t="s">
        <v>50</v>
      </c>
      <c r="D51" s="5">
        <v>8876627</v>
      </c>
      <c r="E51" s="5">
        <v>4366086</v>
      </c>
      <c r="F51" s="5">
        <v>2745968</v>
      </c>
      <c r="G51" s="5">
        <v>1828337</v>
      </c>
      <c r="H51" s="5">
        <f>SUM(D51:G51)</f>
        <v>17817018</v>
      </c>
      <c r="I51" s="6">
        <f>H51/$H$160</f>
        <v>0.008083333895374831</v>
      </c>
    </row>
    <row r="52" spans="1:9" x14ac:dyDescent="0.25">
      <c r="A52" s="4" t="s">
        <v>35</v>
      </c>
      <c r="B52" s="4" t="s">
        <v>17</v>
      </c>
      <c r="C52" s="4" t="s">
        <v>50</v>
      </c>
      <c r="D52" s="5">
        <v>6931339</v>
      </c>
      <c r="E52" s="5">
        <v>3945090</v>
      </c>
      <c r="F52" s="5">
        <v>2160618</v>
      </c>
      <c r="G52" s="5">
        <v>1472881</v>
      </c>
      <c r="H52" s="5">
        <f>SUM(D52:G52)</f>
        <v>14509928</v>
      </c>
      <c r="I52" s="6">
        <f>H52/$H$160</f>
        <v>0.0065829530408426555</v>
      </c>
    </row>
    <row r="53" spans="1:9" x14ac:dyDescent="0.25">
      <c r="A53" s="4" t="s">
        <v>36</v>
      </c>
      <c r="B53" s="4" t="s">
        <v>19</v>
      </c>
      <c r="C53" s="4" t="s">
        <v>50</v>
      </c>
      <c r="D53" s="5">
        <v>7100417</v>
      </c>
      <c r="E53" s="5">
        <v>3764801</v>
      </c>
      <c r="F53" s="5">
        <v>2017427</v>
      </c>
      <c r="G53" s="5">
        <v>1370924</v>
      </c>
      <c r="H53" s="5">
        <f>SUM(D53:G53)</f>
        <v>14253569</v>
      </c>
      <c r="I53" s="6">
        <f>H53/$H$160</f>
        <v>0.006466646518949687</v>
      </c>
    </row>
    <row r="54" spans="1:9" x14ac:dyDescent="0.25">
      <c r="A54" s="4" t="s">
        <v>37</v>
      </c>
      <c r="B54" s="4" t="s">
        <v>21</v>
      </c>
      <c r="C54" s="4" t="s">
        <v>50</v>
      </c>
      <c r="D54" s="5">
        <v>7126492</v>
      </c>
      <c r="E54" s="5">
        <v>3284438</v>
      </c>
      <c r="F54" s="5">
        <v>2129037</v>
      </c>
      <c r="G54" s="5">
        <v>1493463</v>
      </c>
      <c r="H54" s="5">
        <f>SUM(D54:G54)</f>
        <v>14033430</v>
      </c>
      <c r="I54" s="6">
        <f>H54/$H$160</f>
        <v>0.0063667725085853315</v>
      </c>
    </row>
    <row r="55" spans="1:9" x14ac:dyDescent="0.25">
      <c r="A55" s="4" t="s">
        <v>38</v>
      </c>
      <c r="B55" s="4" t="s">
        <v>23</v>
      </c>
      <c r="C55" s="4" t="s">
        <v>50</v>
      </c>
      <c r="D55" s="5">
        <v>7744656</v>
      </c>
      <c r="E55" s="5">
        <v>3783529</v>
      </c>
      <c r="F55" s="5">
        <v>2271694</v>
      </c>
      <c r="G55" s="5">
        <v>1330029</v>
      </c>
      <c r="H55" s="5">
        <f>SUM(D55:G55)</f>
        <v>15129908</v>
      </c>
      <c r="I55" s="6">
        <f>H55/$H$160</f>
        <v>0.006864229366008544</v>
      </c>
    </row>
    <row r="56" spans="1:9" x14ac:dyDescent="0.25">
      <c r="A56" s="4" t="s">
        <v>39</v>
      </c>
      <c r="B56" s="4" t="s">
        <v>25</v>
      </c>
      <c r="C56" s="4" t="s">
        <v>50</v>
      </c>
      <c r="D56" s="5">
        <v>8376888</v>
      </c>
      <c r="E56" s="5">
        <v>4434029</v>
      </c>
      <c r="F56" s="5">
        <v>2863051</v>
      </c>
      <c r="G56" s="5">
        <v>1967747</v>
      </c>
      <c r="H56" s="5">
        <f>SUM(D56:G56)</f>
        <v>17641715</v>
      </c>
      <c r="I56" s="6">
        <f>H56/$H$160</f>
        <v>0.008003801356211381</v>
      </c>
    </row>
    <row r="57" spans="1:9" x14ac:dyDescent="0.25">
      <c r="A57" s="4" t="s">
        <v>40</v>
      </c>
      <c r="B57" s="4" t="s">
        <v>12</v>
      </c>
      <c r="C57" s="4" t="s">
        <v>50</v>
      </c>
      <c r="D57" s="5">
        <v>8787077</v>
      </c>
      <c r="E57" s="5">
        <v>4259827</v>
      </c>
      <c r="F57" s="5">
        <v>2721779</v>
      </c>
      <c r="G57" s="5">
        <v>1799938</v>
      </c>
      <c r="H57" s="5">
        <f>SUM(D57:G57)</f>
        <v>17568621</v>
      </c>
      <c r="I57" s="6">
        <f>H57/$H$160</f>
        <v>0.007970639622426943</v>
      </c>
    </row>
    <row r="58" spans="1:9" x14ac:dyDescent="0.25">
      <c r="A58" s="4" t="s">
        <v>41</v>
      </c>
      <c r="B58" s="4" t="s">
        <v>15</v>
      </c>
      <c r="C58" s="4" t="s">
        <v>50</v>
      </c>
      <c r="D58" s="5">
        <v>8517459</v>
      </c>
      <c r="E58" s="5">
        <v>5195917</v>
      </c>
      <c r="F58" s="5">
        <v>2539514</v>
      </c>
      <c r="G58" s="5">
        <v>1812637</v>
      </c>
      <c r="H58" s="5">
        <f>SUM(D58:G58)</f>
        <v>18065527</v>
      </c>
      <c r="I58" s="6">
        <f>H58/$H$160</f>
        <v>0.008196078981168968</v>
      </c>
    </row>
    <row r="59" spans="1:9" x14ac:dyDescent="0.25">
      <c r="A59" s="4" t="s">
        <v>42</v>
      </c>
      <c r="B59" s="4" t="s">
        <v>17</v>
      </c>
      <c r="C59" s="4" t="s">
        <v>50</v>
      </c>
      <c r="D59" s="5">
        <v>6139583</v>
      </c>
      <c r="E59" s="5">
        <v>3982644</v>
      </c>
      <c r="F59" s="5">
        <v>2091526</v>
      </c>
      <c r="G59" s="5">
        <v>1340759</v>
      </c>
      <c r="H59" s="5">
        <f>SUM(D59:G59)</f>
        <v>13554512</v>
      </c>
      <c r="I59" s="6">
        <f>H59/$H$160</f>
        <v>0.0061494940559000885</v>
      </c>
    </row>
    <row r="60" spans="1:9" x14ac:dyDescent="0.25">
      <c r="A60" s="4" t="s">
        <v>43</v>
      </c>
      <c r="B60" s="4" t="s">
        <v>19</v>
      </c>
      <c r="C60" s="4" t="s">
        <v>50</v>
      </c>
      <c r="D60" s="5">
        <v>6507438</v>
      </c>
      <c r="E60" s="5">
        <v>4216549</v>
      </c>
      <c r="F60" s="5">
        <v>2037897</v>
      </c>
      <c r="G60" s="5">
        <v>1418632</v>
      </c>
      <c r="H60" s="5">
        <f>SUM(D60:G60)</f>
        <v>14180516</v>
      </c>
      <c r="I60" s="6">
        <f>H60/$H$160</f>
        <v>0.006433503386296467</v>
      </c>
    </row>
    <row r="61" spans="1:9" x14ac:dyDescent="0.25">
      <c r="A61" s="4" t="s">
        <v>44</v>
      </c>
      <c r="B61" s="4" t="s">
        <v>21</v>
      </c>
      <c r="C61" s="4" t="s">
        <v>50</v>
      </c>
      <c r="D61" s="5">
        <v>7682586</v>
      </c>
      <c r="E61" s="5">
        <v>3858405</v>
      </c>
      <c r="F61" s="5">
        <v>2125558</v>
      </c>
      <c r="G61" s="5">
        <v>1476173</v>
      </c>
      <c r="H61" s="5">
        <f>SUM(D61:G61)</f>
        <v>15142722</v>
      </c>
      <c r="I61" s="6">
        <f>H61/$H$160</f>
        <v>0.00687004290004299</v>
      </c>
    </row>
    <row r="62" spans="1:9" x14ac:dyDescent="0.25">
      <c r="A62" s="4" t="s">
        <v>45</v>
      </c>
      <c r="B62" s="4" t="s">
        <v>23</v>
      </c>
      <c r="C62" s="4" t="s">
        <v>50</v>
      </c>
      <c r="D62" s="5">
        <v>7919643</v>
      </c>
      <c r="E62" s="5">
        <v>3544689</v>
      </c>
      <c r="F62" s="5">
        <v>2040982</v>
      </c>
      <c r="G62" s="5">
        <v>1579328</v>
      </c>
      <c r="H62" s="5">
        <f>SUM(D62:G62)</f>
        <v>15084642</v>
      </c>
      <c r="I62" s="6">
        <f>H62/$H$160</f>
        <v>0.006843692809772925</v>
      </c>
    </row>
    <row r="63" spans="1:9" x14ac:dyDescent="0.25">
      <c r="A63" s="4" t="s">
        <v>46</v>
      </c>
      <c r="B63" s="4" t="s">
        <v>25</v>
      </c>
      <c r="C63" s="4" t="s">
        <v>50</v>
      </c>
      <c r="D63" s="5">
        <v>8203541</v>
      </c>
      <c r="E63" s="5">
        <v>4716663</v>
      </c>
      <c r="F63" s="5">
        <v>2871133</v>
      </c>
      <c r="G63" s="5">
        <v>1932145</v>
      </c>
      <c r="H63" s="5">
        <f>SUM(D63:G63)</f>
        <v>17723482</v>
      </c>
      <c r="I63" s="6">
        <f>H63/$H$160</f>
        <v>0.008040897909777365</v>
      </c>
    </row>
    <row r="64" spans="1:9" x14ac:dyDescent="0.25">
      <c r="A64" s="4" t="s">
        <v>47</v>
      </c>
      <c r="B64" s="4" t="s">
        <v>12</v>
      </c>
      <c r="C64" s="4" t="s">
        <v>50</v>
      </c>
      <c r="D64" s="5">
        <v>9506848</v>
      </c>
      <c r="E64" s="5">
        <v>5363379</v>
      </c>
      <c r="F64" s="5">
        <v>2552477</v>
      </c>
      <c r="G64" s="5">
        <v>1831163</v>
      </c>
      <c r="H64" s="5">
        <f>SUM(D64:G64)</f>
        <v>19253867</v>
      </c>
      <c r="I64" s="6">
        <f>H64/$H$160</f>
        <v>0.008735212353612647</v>
      </c>
    </row>
    <row r="65" spans="1:9" x14ac:dyDescent="0.25">
      <c r="A65" s="4" t="s">
        <v>48</v>
      </c>
      <c r="B65" s="4" t="s">
        <v>15</v>
      </c>
      <c r="C65" s="4" t="s">
        <v>50</v>
      </c>
      <c r="D65" s="5">
        <v>9074391</v>
      </c>
      <c r="E65" s="5">
        <v>5083196</v>
      </c>
      <c r="F65" s="5">
        <v>2769593</v>
      </c>
      <c r="G65" s="5">
        <v>2059976</v>
      </c>
      <c r="H65" s="5">
        <f>SUM(D65:G65)</f>
        <v>18987156</v>
      </c>
      <c r="I65" s="6">
        <f>H65/$H$160</f>
        <v>0.008614209272930497</v>
      </c>
    </row>
    <row r="66" spans="1:9" x14ac:dyDescent="0.25">
      <c r="A66" s="4" t="s">
        <v>49</v>
      </c>
      <c r="B66" s="4" t="s">
        <v>17</v>
      </c>
      <c r="C66" s="4" t="s">
        <v>50</v>
      </c>
      <c r="D66" s="5">
        <v>7221575</v>
      </c>
      <c r="E66" s="5">
        <v>3589505</v>
      </c>
      <c r="F66" s="5">
        <v>2137656</v>
      </c>
      <c r="G66" s="5">
        <v>1290019</v>
      </c>
      <c r="H66" s="5">
        <f>SUM(D66:G66)</f>
        <v>14238755</v>
      </c>
      <c r="I66" s="6">
        <f>H66/$H$160</f>
        <v>0.006459925612660763</v>
      </c>
    </row>
    <row r="67" spans="1:9" x14ac:dyDescent="0.25">
      <c r="A67" s="4" t="s">
        <v>11</v>
      </c>
      <c r="B67" s="4" t="s">
        <v>12</v>
      </c>
      <c r="C67" s="4" t="s">
        <v>51</v>
      </c>
      <c r="D67" s="5">
        <v>6911792</v>
      </c>
      <c r="E67" s="5">
        <v>4170170</v>
      </c>
      <c r="F67" s="5">
        <v>2464843</v>
      </c>
      <c r="G67" s="5">
        <v>1587847</v>
      </c>
      <c r="H67" s="5">
        <f>SUM(D67:G67)</f>
        <v>15134652</v>
      </c>
      <c r="I67" s="6">
        <f>H67/$H$160</f>
        <v>0.006866381652996168</v>
      </c>
    </row>
    <row r="68" spans="1:9" x14ac:dyDescent="0.25">
      <c r="A68" s="4" t="s">
        <v>14</v>
      </c>
      <c r="B68" s="4" t="s">
        <v>15</v>
      </c>
      <c r="C68" s="4" t="s">
        <v>51</v>
      </c>
      <c r="D68" s="5">
        <v>7692731</v>
      </c>
      <c r="E68" s="5">
        <v>4351070</v>
      </c>
      <c r="F68" s="5">
        <v>2532443</v>
      </c>
      <c r="G68" s="5">
        <v>1616882</v>
      </c>
      <c r="H68" s="5">
        <f>SUM(D68:G68)</f>
        <v>16193126</v>
      </c>
      <c r="I68" s="6">
        <f>H68/$H$160</f>
        <v>0.007346596622839773</v>
      </c>
    </row>
    <row r="69" spans="1:9" x14ac:dyDescent="0.25">
      <c r="A69" s="4" t="s">
        <v>16</v>
      </c>
      <c r="B69" s="4" t="s">
        <v>17</v>
      </c>
      <c r="C69" s="4" t="s">
        <v>51</v>
      </c>
      <c r="D69" s="5">
        <v>5685039</v>
      </c>
      <c r="E69" s="5">
        <v>3290349</v>
      </c>
      <c r="F69" s="5">
        <v>1736672</v>
      </c>
      <c r="G69" s="5">
        <v>1336332</v>
      </c>
      <c r="H69" s="5">
        <f>SUM(D69:G69)</f>
        <v>12048392</v>
      </c>
      <c r="I69" s="6">
        <f>H69/$H$160</f>
        <v>0.005466188305942271</v>
      </c>
    </row>
    <row r="70" spans="1:9" x14ac:dyDescent="0.25">
      <c r="A70" s="4" t="s">
        <v>18</v>
      </c>
      <c r="B70" s="4" t="s">
        <v>19</v>
      </c>
      <c r="C70" s="4" t="s">
        <v>51</v>
      </c>
      <c r="D70" s="5">
        <v>5962261</v>
      </c>
      <c r="E70" s="5">
        <v>3072860</v>
      </c>
      <c r="F70" s="5">
        <v>1847321</v>
      </c>
      <c r="G70" s="5">
        <v>1265264</v>
      </c>
      <c r="H70" s="5">
        <f>SUM(D70:G70)</f>
        <v>12147706</v>
      </c>
      <c r="I70" s="6">
        <f>H70/$H$160</f>
        <v>0.0055112456899829255</v>
      </c>
    </row>
    <row r="71" spans="1:9" x14ac:dyDescent="0.25">
      <c r="A71" s="4" t="s">
        <v>20</v>
      </c>
      <c r="B71" s="4" t="s">
        <v>21</v>
      </c>
      <c r="C71" s="4" t="s">
        <v>51</v>
      </c>
      <c r="D71" s="5">
        <v>5114199</v>
      </c>
      <c r="E71" s="5">
        <v>3131421</v>
      </c>
      <c r="F71" s="5">
        <v>1815379</v>
      </c>
      <c r="G71" s="5">
        <v>1032856</v>
      </c>
      <c r="H71" s="5">
        <f>SUM(D71:G71)</f>
        <v>11093855</v>
      </c>
      <c r="I71" s="6">
        <f>H71/$H$160</f>
        <v>0.005033128111105548</v>
      </c>
    </row>
    <row r="72" spans="1:9" x14ac:dyDescent="0.25">
      <c r="A72" s="4" t="s">
        <v>22</v>
      </c>
      <c r="B72" s="4" t="s">
        <v>23</v>
      </c>
      <c r="C72" s="4" t="s">
        <v>51</v>
      </c>
      <c r="D72" s="5">
        <v>5546855</v>
      </c>
      <c r="E72" s="5">
        <v>3304961</v>
      </c>
      <c r="F72" s="5">
        <v>1912510</v>
      </c>
      <c r="G72" s="5">
        <v>1122104</v>
      </c>
      <c r="H72" s="5">
        <f>SUM(D72:G72)</f>
        <v>11886430</v>
      </c>
      <c r="I72" s="6">
        <f>H72/$H$160</f>
        <v>0.0053927083934023215</v>
      </c>
    </row>
    <row r="73" spans="1:9" x14ac:dyDescent="0.25">
      <c r="A73" s="4" t="s">
        <v>24</v>
      </c>
      <c r="B73" s="4" t="s">
        <v>25</v>
      </c>
      <c r="C73" s="4" t="s">
        <v>51</v>
      </c>
      <c r="D73" s="5">
        <v>7622008</v>
      </c>
      <c r="E73" s="5">
        <v>4010658</v>
      </c>
      <c r="F73" s="5">
        <v>2228870</v>
      </c>
      <c r="G73" s="5">
        <v>1405177</v>
      </c>
      <c r="H73" s="5">
        <f>SUM(D73:G73)</f>
        <v>15266713</v>
      </c>
      <c r="I73" s="6">
        <f>H73/$H$160</f>
        <v>0.006926295896645531</v>
      </c>
    </row>
    <row r="74" spans="1:9" x14ac:dyDescent="0.25">
      <c r="A74" s="4" t="s">
        <v>26</v>
      </c>
      <c r="B74" s="4" t="s">
        <v>12</v>
      </c>
      <c r="C74" s="4" t="s">
        <v>51</v>
      </c>
      <c r="D74" s="5">
        <v>6879845</v>
      </c>
      <c r="E74" s="5">
        <v>4172955</v>
      </c>
      <c r="F74" s="5">
        <v>2537200</v>
      </c>
      <c r="G74" s="5">
        <v>1430750</v>
      </c>
      <c r="H74" s="5">
        <f>SUM(D74:G74)</f>
        <v>15020750</v>
      </c>
      <c r="I74" s="6">
        <f>H74/$H$160</f>
        <v>0.006814705895731344</v>
      </c>
    </row>
    <row r="75" spans="1:9" x14ac:dyDescent="0.25">
      <c r="A75" s="4" t="s">
        <v>27</v>
      </c>
      <c r="B75" s="4" t="s">
        <v>15</v>
      </c>
      <c r="C75" s="4" t="s">
        <v>51</v>
      </c>
      <c r="D75" s="5">
        <v>7493225</v>
      </c>
      <c r="E75" s="5">
        <v>3904701</v>
      </c>
      <c r="F75" s="5">
        <v>2240283</v>
      </c>
      <c r="G75" s="5">
        <v>1497497</v>
      </c>
      <c r="H75" s="5">
        <f>SUM(D75:G75)</f>
        <v>15135706</v>
      </c>
      <c r="I75" s="6">
        <f>H75/$H$160</f>
        <v>0.006866859838174278</v>
      </c>
    </row>
    <row r="76" spans="1:9" x14ac:dyDescent="0.25">
      <c r="A76" s="4" t="s">
        <v>28</v>
      </c>
      <c r="B76" s="4" t="s">
        <v>17</v>
      </c>
      <c r="C76" s="4" t="s">
        <v>51</v>
      </c>
      <c r="D76" s="5">
        <v>5835731</v>
      </c>
      <c r="E76" s="5">
        <v>2920186</v>
      </c>
      <c r="F76" s="5">
        <v>1682453</v>
      </c>
      <c r="G76" s="5">
        <v>1211371</v>
      </c>
      <c r="H76" s="5">
        <f>SUM(D76:G76)</f>
        <v>11649741</v>
      </c>
      <c r="I76" s="6">
        <f>H76/$H$160</f>
        <v>0.005285325877632153</v>
      </c>
    </row>
    <row r="77" spans="1:9" x14ac:dyDescent="0.25">
      <c r="A77" s="4" t="s">
        <v>29</v>
      </c>
      <c r="B77" s="4" t="s">
        <v>19</v>
      </c>
      <c r="C77" s="4" t="s">
        <v>51</v>
      </c>
      <c r="D77" s="5">
        <v>5748902</v>
      </c>
      <c r="E77" s="5">
        <v>2806177</v>
      </c>
      <c r="F77" s="5">
        <v>1659648</v>
      </c>
      <c r="G77" s="5">
        <v>1213726</v>
      </c>
      <c r="H77" s="5">
        <f>SUM(D77:G77)</f>
        <v>11428453</v>
      </c>
      <c r="I77" s="6">
        <f>H77/$H$160</f>
        <v>0.005184930581907599</v>
      </c>
    </row>
    <row r="78" spans="1:9" x14ac:dyDescent="0.25">
      <c r="A78" s="4" t="s">
        <v>30</v>
      </c>
      <c r="B78" s="4" t="s">
        <v>21</v>
      </c>
      <c r="C78" s="4" t="s">
        <v>51</v>
      </c>
      <c r="D78" s="5">
        <v>5440737</v>
      </c>
      <c r="E78" s="5">
        <v>3540207</v>
      </c>
      <c r="F78" s="5">
        <v>1741468</v>
      </c>
      <c r="G78" s="5">
        <v>1136734</v>
      </c>
      <c r="H78" s="5">
        <f>SUM(D78:G78)</f>
        <v>11859146</v>
      </c>
      <c r="I78" s="6">
        <f>H78/$H$160</f>
        <v>0.005380330021106721</v>
      </c>
    </row>
    <row r="79" spans="1:9" x14ac:dyDescent="0.25">
      <c r="A79" s="4" t="s">
        <v>31</v>
      </c>
      <c r="B79" s="4" t="s">
        <v>23</v>
      </c>
      <c r="C79" s="4" t="s">
        <v>51</v>
      </c>
      <c r="D79" s="5">
        <v>5692576</v>
      </c>
      <c r="E79" s="5">
        <v>3235549</v>
      </c>
      <c r="F79" s="5">
        <v>1486506</v>
      </c>
      <c r="G79" s="5">
        <v>1179510</v>
      </c>
      <c r="H79" s="5">
        <f>SUM(D79:G79)</f>
        <v>11594141</v>
      </c>
      <c r="I79" s="6">
        <f>H79/$H$160</f>
        <v>0.005260100928957642</v>
      </c>
    </row>
    <row r="80" spans="1:9" x14ac:dyDescent="0.25">
      <c r="A80" s="4" t="s">
        <v>32</v>
      </c>
      <c r="B80" s="4" t="s">
        <v>25</v>
      </c>
      <c r="C80" s="4" t="s">
        <v>51</v>
      </c>
      <c r="D80" s="5">
        <v>7440393</v>
      </c>
      <c r="E80" s="5">
        <v>4252145</v>
      </c>
      <c r="F80" s="5">
        <v>2143456</v>
      </c>
      <c r="G80" s="5">
        <v>1485549</v>
      </c>
      <c r="H80" s="5">
        <f>SUM(D80:G80)</f>
        <v>15321543</v>
      </c>
      <c r="I80" s="6">
        <f>H80/$H$160</f>
        <v>0.006951171507002068</v>
      </c>
    </row>
    <row r="81" spans="1:9" x14ac:dyDescent="0.25">
      <c r="A81" s="4" t="s">
        <v>33</v>
      </c>
      <c r="B81" s="4" t="s">
        <v>12</v>
      </c>
      <c r="C81" s="4" t="s">
        <v>51</v>
      </c>
      <c r="D81" s="5">
        <v>7421295</v>
      </c>
      <c r="E81" s="5">
        <v>3888995</v>
      </c>
      <c r="F81" s="5">
        <v>2298622</v>
      </c>
      <c r="G81" s="5">
        <v>1491329</v>
      </c>
      <c r="H81" s="5">
        <f>SUM(D81:G81)</f>
        <v>15100241</v>
      </c>
      <c r="I81" s="6">
        <f>H81/$H$160</f>
        <v>0.006850769859671732</v>
      </c>
    </row>
    <row r="82" spans="1:9" x14ac:dyDescent="0.25">
      <c r="A82" s="4" t="s">
        <v>34</v>
      </c>
      <c r="B82" s="4" t="s">
        <v>15</v>
      </c>
      <c r="C82" s="4" t="s">
        <v>51</v>
      </c>
      <c r="D82" s="5">
        <v>7075976</v>
      </c>
      <c r="E82" s="5">
        <v>4949436</v>
      </c>
      <c r="F82" s="5">
        <v>2490836</v>
      </c>
      <c r="G82" s="5">
        <v>1593758</v>
      </c>
      <c r="H82" s="5">
        <f>SUM(D82:G82)</f>
        <v>16110006</v>
      </c>
      <c r="I82" s="6">
        <f>H82/$H$160</f>
        <v>0.007308886231943633</v>
      </c>
    </row>
    <row r="83" spans="1:9" x14ac:dyDescent="0.25">
      <c r="A83" s="4" t="s">
        <v>35</v>
      </c>
      <c r="B83" s="4" t="s">
        <v>17</v>
      </c>
      <c r="C83" s="4" t="s">
        <v>51</v>
      </c>
      <c r="D83" s="5">
        <v>5994999</v>
      </c>
      <c r="E83" s="5">
        <v>3577143</v>
      </c>
      <c r="F83" s="5">
        <v>1667980</v>
      </c>
      <c r="G83" s="5">
        <v>1116075</v>
      </c>
      <c r="H83" s="5">
        <f>SUM(D83:G83)</f>
        <v>12356197</v>
      </c>
      <c r="I83" s="6">
        <f>H83/$H$160</f>
        <v>0.005605835164337197</v>
      </c>
    </row>
    <row r="84" spans="1:9" x14ac:dyDescent="0.25">
      <c r="A84" s="4" t="s">
        <v>36</v>
      </c>
      <c r="B84" s="4" t="s">
        <v>19</v>
      </c>
      <c r="C84" s="4" t="s">
        <v>51</v>
      </c>
      <c r="D84" s="5">
        <v>6125438</v>
      </c>
      <c r="E84" s="5">
        <v>2936462</v>
      </c>
      <c r="F84" s="5">
        <v>1951309</v>
      </c>
      <c r="G84" s="5">
        <v>1128978</v>
      </c>
      <c r="H84" s="5">
        <f>SUM(D84:G84)</f>
        <v>12142187</v>
      </c>
      <c r="I84" s="6">
        <f>H84/$H$160</f>
        <v>0.005508741796246691</v>
      </c>
    </row>
    <row r="85" spans="1:9" x14ac:dyDescent="0.25">
      <c r="A85" s="4" t="s">
        <v>37</v>
      </c>
      <c r="B85" s="4" t="s">
        <v>21</v>
      </c>
      <c r="C85" s="4" t="s">
        <v>51</v>
      </c>
      <c r="D85" s="5">
        <v>6060510</v>
      </c>
      <c r="E85" s="5">
        <v>3536878</v>
      </c>
      <c r="F85" s="5">
        <v>1711629</v>
      </c>
      <c r="G85" s="5">
        <v>1170762</v>
      </c>
      <c r="H85" s="5">
        <f>SUM(D85:G85)</f>
        <v>12479779</v>
      </c>
      <c r="I85" s="6">
        <f>H85/$H$160</f>
        <v>0.0056619026033136975</v>
      </c>
    </row>
    <row r="86" spans="1:9" x14ac:dyDescent="0.25">
      <c r="A86" s="4" t="s">
        <v>38</v>
      </c>
      <c r="B86" s="4" t="s">
        <v>23</v>
      </c>
      <c r="C86" s="4" t="s">
        <v>51</v>
      </c>
      <c r="D86" s="5">
        <v>6097006</v>
      </c>
      <c r="E86" s="5">
        <v>3161285</v>
      </c>
      <c r="F86" s="5">
        <v>1738479</v>
      </c>
      <c r="G86" s="5">
        <v>1311711</v>
      </c>
      <c r="H86" s="5">
        <f>SUM(D86:G86)</f>
        <v>12308481</v>
      </c>
      <c r="I86" s="6">
        <f>H86/$H$160</f>
        <v>0.0055841870770898415</v>
      </c>
    </row>
    <row r="87" spans="1:9" x14ac:dyDescent="0.25">
      <c r="A87" s="4" t="s">
        <v>39</v>
      </c>
      <c r="B87" s="4" t="s">
        <v>25</v>
      </c>
      <c r="C87" s="4" t="s">
        <v>51</v>
      </c>
      <c r="D87" s="5">
        <v>7120741</v>
      </c>
      <c r="E87" s="5">
        <v>3713871</v>
      </c>
      <c r="F87" s="5">
        <v>2381797</v>
      </c>
      <c r="G87" s="5">
        <v>1432617</v>
      </c>
      <c r="H87" s="5">
        <f>SUM(D87:G87)</f>
        <v>14649026</v>
      </c>
      <c r="I87" s="6">
        <f>H87/$H$160</f>
        <v>0.0066460598737694025</v>
      </c>
    </row>
    <row r="88" spans="1:9" x14ac:dyDescent="0.25">
      <c r="A88" s="4" t="s">
        <v>40</v>
      </c>
      <c r="B88" s="4" t="s">
        <v>12</v>
      </c>
      <c r="C88" s="4" t="s">
        <v>51</v>
      </c>
      <c r="D88" s="5">
        <v>7251774</v>
      </c>
      <c r="E88" s="5">
        <v>4510945</v>
      </c>
      <c r="F88" s="5">
        <v>2135354</v>
      </c>
      <c r="G88" s="5">
        <v>1733817</v>
      </c>
      <c r="H88" s="5">
        <f>SUM(D88:G88)</f>
        <v>15631890</v>
      </c>
      <c r="I88" s="6">
        <f>H88/$H$160</f>
        <v>0.0070919716355324364</v>
      </c>
    </row>
    <row r="89" spans="1:9" x14ac:dyDescent="0.25">
      <c r="A89" s="4" t="s">
        <v>41</v>
      </c>
      <c r="B89" s="4" t="s">
        <v>15</v>
      </c>
      <c r="C89" s="4" t="s">
        <v>51</v>
      </c>
      <c r="D89" s="5">
        <v>7237882</v>
      </c>
      <c r="E89" s="5">
        <v>3814632</v>
      </c>
      <c r="F89" s="5">
        <v>2274189</v>
      </c>
      <c r="G89" s="5">
        <v>1369610</v>
      </c>
      <c r="H89" s="5">
        <f>SUM(D89:G89)</f>
        <v>14696313</v>
      </c>
      <c r="I89" s="6">
        <f>H89/$H$160</f>
        <v>0.006667513329668173</v>
      </c>
    </row>
    <row r="90" spans="1:9" x14ac:dyDescent="0.25">
      <c r="A90" s="4" t="s">
        <v>42</v>
      </c>
      <c r="B90" s="4" t="s">
        <v>17</v>
      </c>
      <c r="C90" s="4" t="s">
        <v>51</v>
      </c>
      <c r="D90" s="5">
        <v>5955847</v>
      </c>
      <c r="E90" s="5">
        <v>3456902</v>
      </c>
      <c r="F90" s="5">
        <v>1777130</v>
      </c>
      <c r="G90" s="5">
        <v>1290861</v>
      </c>
      <c r="H90" s="5">
        <f>SUM(D90:G90)</f>
        <v>12480740</v>
      </c>
      <c r="I90" s="6">
        <f>H90/$H$160</f>
        <v>0.0056623385956819745</v>
      </c>
    </row>
    <row r="91" spans="1:9" x14ac:dyDescent="0.25">
      <c r="A91" s="4" t="s">
        <v>43</v>
      </c>
      <c r="B91" s="4" t="s">
        <v>19</v>
      </c>
      <c r="C91" s="4" t="s">
        <v>51</v>
      </c>
      <c r="D91" s="5">
        <v>6005534</v>
      </c>
      <c r="E91" s="5">
        <v>2923141</v>
      </c>
      <c r="F91" s="5">
        <v>2000754</v>
      </c>
      <c r="G91" s="5">
        <v>1094509</v>
      </c>
      <c r="H91" s="5">
        <f>SUM(D91:G91)</f>
        <v>12023938</v>
      </c>
      <c r="I91" s="6">
        <f>H91/$H$160</f>
        <v>0.005455093865386758</v>
      </c>
    </row>
    <row r="92" spans="1:9" x14ac:dyDescent="0.25">
      <c r="A92" s="4" t="s">
        <v>44</v>
      </c>
      <c r="B92" s="4" t="s">
        <v>21</v>
      </c>
      <c r="C92" s="4" t="s">
        <v>51</v>
      </c>
      <c r="D92" s="5">
        <v>5720219</v>
      </c>
      <c r="E92" s="5">
        <v>3430226</v>
      </c>
      <c r="F92" s="5">
        <v>1721251</v>
      </c>
      <c r="G92" s="5">
        <v>1157571</v>
      </c>
      <c r="H92" s="5">
        <f>SUM(D92:G92)</f>
        <v>12029267</v>
      </c>
      <c r="I92" s="6">
        <f>H92/$H$160</f>
        <v>0.005457511558758817</v>
      </c>
    </row>
    <row r="93" spans="1:9" x14ac:dyDescent="0.25">
      <c r="A93" s="4" t="s">
        <v>45</v>
      </c>
      <c r="B93" s="4" t="s">
        <v>23</v>
      </c>
      <c r="C93" s="4" t="s">
        <v>51</v>
      </c>
      <c r="D93" s="5">
        <v>6005403</v>
      </c>
      <c r="E93" s="5">
        <v>3243036</v>
      </c>
      <c r="F93" s="5">
        <v>1942076</v>
      </c>
      <c r="G93" s="5">
        <v>1252290</v>
      </c>
      <c r="H93" s="5">
        <f>SUM(D93:G93)</f>
        <v>12442805</v>
      </c>
      <c r="I93" s="6">
        <f>H93/$H$160</f>
        <v>0.0056451280124451475</v>
      </c>
    </row>
    <row r="94" spans="1:9" x14ac:dyDescent="0.25">
      <c r="A94" s="4" t="s">
        <v>46</v>
      </c>
      <c r="B94" s="4" t="s">
        <v>25</v>
      </c>
      <c r="C94" s="4" t="s">
        <v>51</v>
      </c>
      <c r="D94" s="5">
        <v>7555528</v>
      </c>
      <c r="E94" s="5">
        <v>4059380</v>
      </c>
      <c r="F94" s="5">
        <v>2170471</v>
      </c>
      <c r="G94" s="5">
        <v>1612537</v>
      </c>
      <c r="H94" s="5">
        <f>SUM(D94:G94)</f>
        <v>15397916</v>
      </c>
      <c r="I94" s="6">
        <f>H94/$H$160</f>
        <v>0.006985820877597723</v>
      </c>
    </row>
    <row r="95" spans="1:9" x14ac:dyDescent="0.25">
      <c r="A95" s="4" t="s">
        <v>47</v>
      </c>
      <c r="B95" s="4" t="s">
        <v>12</v>
      </c>
      <c r="C95" s="4" t="s">
        <v>51</v>
      </c>
      <c r="D95" s="5">
        <v>7207136</v>
      </c>
      <c r="E95" s="5">
        <v>3931347</v>
      </c>
      <c r="F95" s="5">
        <v>2718618</v>
      </c>
      <c r="G95" s="5">
        <v>1726893</v>
      </c>
      <c r="H95" s="5">
        <f>SUM(D95:G95)</f>
        <v>15583994</v>
      </c>
      <c r="I95" s="6">
        <f>H95/$H$160</f>
        <v>0.007070241884782178</v>
      </c>
    </row>
    <row r="96" spans="1:9" x14ac:dyDescent="0.25">
      <c r="A96" s="4" t="s">
        <v>48</v>
      </c>
      <c r="B96" s="4" t="s">
        <v>15</v>
      </c>
      <c r="C96" s="4" t="s">
        <v>51</v>
      </c>
      <c r="D96" s="5">
        <v>7331619</v>
      </c>
      <c r="E96" s="5">
        <v>4083343</v>
      </c>
      <c r="F96" s="5">
        <v>1955517</v>
      </c>
      <c r="G96" s="5">
        <v>1313184</v>
      </c>
      <c r="H96" s="5">
        <f>SUM(D96:G96)</f>
        <v>14683663</v>
      </c>
      <c r="I96" s="6">
        <f>H96/$H$160</f>
        <v>0.006661774200158594</v>
      </c>
    </row>
    <row r="97" spans="1:9" x14ac:dyDescent="0.25">
      <c r="A97" s="4" t="s">
        <v>49</v>
      </c>
      <c r="B97" s="4" t="s">
        <v>17</v>
      </c>
      <c r="C97" s="4" t="s">
        <v>51</v>
      </c>
      <c r="D97" s="5">
        <v>5932195</v>
      </c>
      <c r="E97" s="5">
        <v>3242338</v>
      </c>
      <c r="F97" s="5">
        <v>1904106</v>
      </c>
      <c r="G97" s="5">
        <v>1174935</v>
      </c>
      <c r="H97" s="5">
        <f>SUM(D97:G97)</f>
        <v>12253574</v>
      </c>
      <c r="I97" s="6">
        <f>H97/$H$160</f>
        <v>0.005559276532901507</v>
      </c>
    </row>
    <row r="98" spans="1:9" x14ac:dyDescent="0.25">
      <c r="A98" s="4" t="s">
        <v>11</v>
      </c>
      <c r="B98" s="4" t="s">
        <v>12</v>
      </c>
      <c r="C98" s="4" t="s">
        <v>52</v>
      </c>
      <c r="D98" s="5">
        <v>6127166</v>
      </c>
      <c r="E98" s="5">
        <v>3684898</v>
      </c>
      <c r="F98" s="5">
        <v>2124273</v>
      </c>
      <c r="G98" s="5">
        <v>1397728</v>
      </c>
      <c r="H98" s="5">
        <f>SUM(D98:G98)</f>
        <v>13334065</v>
      </c>
      <c r="I98" s="6">
        <f>H98/$H$160</f>
        <v>0.006049480310208543</v>
      </c>
    </row>
    <row r="99" spans="1:9" x14ac:dyDescent="0.25">
      <c r="A99" s="4" t="s">
        <v>14</v>
      </c>
      <c r="B99" s="4" t="s">
        <v>15</v>
      </c>
      <c r="C99" s="4" t="s">
        <v>52</v>
      </c>
      <c r="D99" s="5">
        <v>6460757</v>
      </c>
      <c r="E99" s="5">
        <v>4239783</v>
      </c>
      <c r="F99" s="5">
        <v>1966632</v>
      </c>
      <c r="G99" s="5">
        <v>1360942</v>
      </c>
      <c r="H99" s="5">
        <f>SUM(D99:G99)</f>
        <v>14028114</v>
      </c>
      <c r="I99" s="6">
        <f>H99/$H$160</f>
        <v>0.006364360713132927</v>
      </c>
    </row>
    <row r="100" spans="1:9" x14ac:dyDescent="0.25">
      <c r="A100" s="4" t="s">
        <v>16</v>
      </c>
      <c r="B100" s="4" t="s">
        <v>17</v>
      </c>
      <c r="C100" s="4" t="s">
        <v>52</v>
      </c>
      <c r="D100" s="5">
        <v>5400738</v>
      </c>
      <c r="E100" s="5">
        <v>2741629</v>
      </c>
      <c r="F100" s="5">
        <v>1548598</v>
      </c>
      <c r="G100" s="5">
        <v>1281056</v>
      </c>
      <c r="H100" s="5">
        <f>SUM(D100:G100)</f>
        <v>10972021</v>
      </c>
      <c r="I100" s="6">
        <f>H100/$H$160</f>
        <v>0.004977853715479461</v>
      </c>
    </row>
    <row r="101" spans="1:9" x14ac:dyDescent="0.25">
      <c r="A101" s="4" t="s">
        <v>18</v>
      </c>
      <c r="B101" s="4" t="s">
        <v>19</v>
      </c>
      <c r="C101" s="4" t="s">
        <v>52</v>
      </c>
      <c r="D101" s="5">
        <v>5042547</v>
      </c>
      <c r="E101" s="5">
        <v>2633650</v>
      </c>
      <c r="F101" s="5">
        <v>1760470</v>
      </c>
      <c r="G101" s="5">
        <v>1177866</v>
      </c>
      <c r="H101" s="5">
        <f>SUM(D101:G101)</f>
        <v>10614533</v>
      </c>
      <c r="I101" s="6">
        <f>H101/$H$160</f>
        <v>0.0048156663692248995</v>
      </c>
    </row>
    <row r="102" spans="1:9" x14ac:dyDescent="0.25">
      <c r="A102" s="4" t="s">
        <v>20</v>
      </c>
      <c r="B102" s="4" t="s">
        <v>21</v>
      </c>
      <c r="C102" s="4" t="s">
        <v>52</v>
      </c>
      <c r="D102" s="5">
        <v>4941687</v>
      </c>
      <c r="E102" s="5">
        <v>3115414</v>
      </c>
      <c r="F102" s="5">
        <v>1633863</v>
      </c>
      <c r="G102" s="5">
        <v>1072928</v>
      </c>
      <c r="H102" s="5">
        <f>SUM(D102:G102)</f>
        <v>10763892</v>
      </c>
      <c r="I102" s="6">
        <f>H102/$H$160</f>
        <v>0.004883428475503251</v>
      </c>
    </row>
    <row r="103" spans="1:9" x14ac:dyDescent="0.25">
      <c r="A103" s="4" t="s">
        <v>22</v>
      </c>
      <c r="B103" s="4" t="s">
        <v>23</v>
      </c>
      <c r="C103" s="4" t="s">
        <v>52</v>
      </c>
      <c r="D103" s="5">
        <v>4808251</v>
      </c>
      <c r="E103" s="5">
        <v>2641769</v>
      </c>
      <c r="F103" s="5">
        <v>1392727</v>
      </c>
      <c r="G103" s="5">
        <v>1016308</v>
      </c>
      <c r="H103" s="5">
        <f>SUM(D103:G103)</f>
        <v>9859055</v>
      </c>
      <c r="I103" s="6">
        <f>H103/$H$160</f>
        <v>0.004472916481190326</v>
      </c>
    </row>
    <row r="104" spans="1:9" x14ac:dyDescent="0.25">
      <c r="A104" s="4" t="s">
        <v>24</v>
      </c>
      <c r="B104" s="4" t="s">
        <v>25</v>
      </c>
      <c r="C104" s="4" t="s">
        <v>52</v>
      </c>
      <c r="D104" s="5">
        <v>6921250</v>
      </c>
      <c r="E104" s="5">
        <v>3484122</v>
      </c>
      <c r="F104" s="5">
        <v>2028754</v>
      </c>
      <c r="G104" s="5">
        <v>1495504</v>
      </c>
      <c r="H104" s="5">
        <f>SUM(D104:G104)</f>
        <v>13929630</v>
      </c>
      <c r="I104" s="6">
        <f>H104/$H$160</f>
        <v>0.006319679888577881</v>
      </c>
    </row>
    <row r="105" spans="1:9" x14ac:dyDescent="0.25">
      <c r="A105" s="4" t="s">
        <v>26</v>
      </c>
      <c r="B105" s="4" t="s">
        <v>12</v>
      </c>
      <c r="C105" s="4" t="s">
        <v>52</v>
      </c>
      <c r="D105" s="5">
        <v>6639651</v>
      </c>
      <c r="E105" s="5">
        <v>4051539</v>
      </c>
      <c r="F105" s="5">
        <v>1947836</v>
      </c>
      <c r="G105" s="5">
        <v>1371066</v>
      </c>
      <c r="H105" s="5">
        <f>SUM(D105:G105)</f>
        <v>14010092</v>
      </c>
      <c r="I105" s="6">
        <f>H105/$H$160</f>
        <v>0.006356184381747818</v>
      </c>
    </row>
    <row r="106" spans="1:9" x14ac:dyDescent="0.25">
      <c r="A106" s="4" t="s">
        <v>27</v>
      </c>
      <c r="B106" s="4" t="s">
        <v>15</v>
      </c>
      <c r="C106" s="4" t="s">
        <v>52</v>
      </c>
      <c r="D106" s="5">
        <v>6194389</v>
      </c>
      <c r="E106" s="5">
        <v>3675772</v>
      </c>
      <c r="F106" s="5">
        <v>2250655</v>
      </c>
      <c r="G106" s="5">
        <v>1310926</v>
      </c>
      <c r="H106" s="5">
        <f>SUM(D106:G106)</f>
        <v>13431742</v>
      </c>
      <c r="I106" s="6">
        <f>H106/$H$160</f>
        <v>0.006093795010058907</v>
      </c>
    </row>
    <row r="107" spans="1:9" x14ac:dyDescent="0.25">
      <c r="A107" s="4" t="s">
        <v>28</v>
      </c>
      <c r="B107" s="4" t="s">
        <v>17</v>
      </c>
      <c r="C107" s="4" t="s">
        <v>52</v>
      </c>
      <c r="D107" s="5">
        <v>5117995</v>
      </c>
      <c r="E107" s="5">
        <v>2892331</v>
      </c>
      <c r="F107" s="5">
        <v>1736928</v>
      </c>
      <c r="G107" s="5">
        <v>1071581</v>
      </c>
      <c r="H107" s="5">
        <f>SUM(D107:G107)</f>
        <v>10818835</v>
      </c>
      <c r="I107" s="6">
        <f>H107/$H$160</f>
        <v>0.0049083553523921655</v>
      </c>
    </row>
    <row r="108" spans="1:9" x14ac:dyDescent="0.25">
      <c r="A108" s="4" t="s">
        <v>29</v>
      </c>
      <c r="B108" s="4" t="s">
        <v>19</v>
      </c>
      <c r="C108" s="4" t="s">
        <v>52</v>
      </c>
      <c r="D108" s="5">
        <v>4924031</v>
      </c>
      <c r="E108" s="5">
        <v>3161516</v>
      </c>
      <c r="F108" s="5">
        <v>1632808</v>
      </c>
      <c r="G108" s="5">
        <v>1091733</v>
      </c>
      <c r="H108" s="5">
        <f>SUM(D108:G108)</f>
        <v>10810088</v>
      </c>
      <c r="I108" s="6">
        <f>H108/$H$160</f>
        <v>0.004904386959837202</v>
      </c>
    </row>
    <row r="109" spans="1:9" x14ac:dyDescent="0.25">
      <c r="A109" s="4" t="s">
        <v>30</v>
      </c>
      <c r="B109" s="4" t="s">
        <v>21</v>
      </c>
      <c r="C109" s="4" t="s">
        <v>52</v>
      </c>
      <c r="D109" s="5">
        <v>4768880</v>
      </c>
      <c r="E109" s="5">
        <v>2816183</v>
      </c>
      <c r="F109" s="5">
        <v>1712470</v>
      </c>
      <c r="G109" s="5">
        <v>935275</v>
      </c>
      <c r="H109" s="5">
        <f>SUM(D109:G109)</f>
        <v>10232808</v>
      </c>
      <c r="I109" s="6">
        <f>H109/$H$160</f>
        <v>0.004642483032304437</v>
      </c>
    </row>
    <row r="110" spans="1:9" x14ac:dyDescent="0.25">
      <c r="A110" s="4" t="s">
        <v>31</v>
      </c>
      <c r="B110" s="4" t="s">
        <v>23</v>
      </c>
      <c r="C110" s="4" t="s">
        <v>52</v>
      </c>
      <c r="D110" s="5">
        <v>5069645</v>
      </c>
      <c r="E110" s="5">
        <v>2935686</v>
      </c>
      <c r="F110" s="5">
        <v>1679742</v>
      </c>
      <c r="G110" s="5">
        <v>1021001</v>
      </c>
      <c r="H110" s="5">
        <f>SUM(D110:G110)</f>
        <v>10706074</v>
      </c>
      <c r="I110" s="6">
        <f>H110/$H$160</f>
        <v>0.004857197250998523</v>
      </c>
    </row>
    <row r="111" spans="1:9" x14ac:dyDescent="0.25">
      <c r="A111" s="4" t="s">
        <v>32</v>
      </c>
      <c r="B111" s="4" t="s">
        <v>25</v>
      </c>
      <c r="C111" s="4" t="s">
        <v>52</v>
      </c>
      <c r="D111" s="5">
        <v>6029036</v>
      </c>
      <c r="E111" s="5">
        <v>3476113</v>
      </c>
      <c r="F111" s="5">
        <v>2170787</v>
      </c>
      <c r="G111" s="5">
        <v>1316579</v>
      </c>
      <c r="H111" s="5">
        <f>SUM(D111:G111)</f>
        <v>12992515</v>
      </c>
      <c r="I111" s="6">
        <f>H111/$H$160</f>
        <v>0.0058945238134499225</v>
      </c>
    </row>
    <row r="112" spans="1:9" x14ac:dyDescent="0.25">
      <c r="A112" s="4" t="s">
        <v>33</v>
      </c>
      <c r="B112" s="4" t="s">
        <v>12</v>
      </c>
      <c r="C112" s="4" t="s">
        <v>52</v>
      </c>
      <c r="D112" s="5">
        <v>6101261</v>
      </c>
      <c r="E112" s="5">
        <v>3576303</v>
      </c>
      <c r="F112" s="5">
        <v>1757989</v>
      </c>
      <c r="G112" s="5">
        <v>1322856</v>
      </c>
      <c r="H112" s="5">
        <f>SUM(D112:G112)</f>
        <v>12758409</v>
      </c>
      <c r="I112" s="6">
        <f>H112/$H$160</f>
        <v>0.005788313168946414</v>
      </c>
    </row>
    <row r="113" spans="1:9" x14ac:dyDescent="0.25">
      <c r="A113" s="4" t="s">
        <v>34</v>
      </c>
      <c r="B113" s="4" t="s">
        <v>15</v>
      </c>
      <c r="C113" s="4" t="s">
        <v>52</v>
      </c>
      <c r="D113" s="5">
        <v>6677068</v>
      </c>
      <c r="E113" s="5">
        <v>3792164</v>
      </c>
      <c r="F113" s="5">
        <v>1782377</v>
      </c>
      <c r="G113" s="5">
        <v>1421347</v>
      </c>
      <c r="H113" s="5">
        <f>SUM(D113:G113)</f>
        <v>13672956</v>
      </c>
      <c r="I113" s="6">
        <f>H113/$H$160</f>
        <v>0.006203230455554833</v>
      </c>
    </row>
    <row r="114" spans="1:9" x14ac:dyDescent="0.25">
      <c r="A114" s="4" t="s">
        <v>35</v>
      </c>
      <c r="B114" s="4" t="s">
        <v>17</v>
      </c>
      <c r="C114" s="4" t="s">
        <v>52</v>
      </c>
      <c r="D114" s="5">
        <v>5056498</v>
      </c>
      <c r="E114" s="5">
        <v>2731184</v>
      </c>
      <c r="F114" s="5">
        <v>1620214</v>
      </c>
      <c r="G114" s="5">
        <v>977661</v>
      </c>
      <c r="H114" s="5">
        <f>SUM(D114:G114)</f>
        <v>10385557</v>
      </c>
      <c r="I114" s="6">
        <f>H114/$H$160</f>
        <v>0.004711783134554129</v>
      </c>
    </row>
    <row r="115" spans="1:9" x14ac:dyDescent="0.25">
      <c r="A115" s="4" t="s">
        <v>36</v>
      </c>
      <c r="B115" s="4" t="s">
        <v>19</v>
      </c>
      <c r="C115" s="4" t="s">
        <v>52</v>
      </c>
      <c r="D115" s="5">
        <v>4974395</v>
      </c>
      <c r="E115" s="5">
        <v>2457715</v>
      </c>
      <c r="F115" s="5">
        <v>1437961</v>
      </c>
      <c r="G115" s="5">
        <v>933471</v>
      </c>
      <c r="H115" s="5">
        <f>SUM(D115:G115)</f>
        <v>9803542</v>
      </c>
      <c r="I115" s="6">
        <f>H115/$H$160</f>
        <v>0.0044477310032088845</v>
      </c>
    </row>
    <row r="116" spans="1:9" x14ac:dyDescent="0.25">
      <c r="A116" s="4" t="s">
        <v>37</v>
      </c>
      <c r="B116" s="4" t="s">
        <v>21</v>
      </c>
      <c r="C116" s="4" t="s">
        <v>52</v>
      </c>
      <c r="D116" s="5">
        <v>5293958</v>
      </c>
      <c r="E116" s="5">
        <v>2585627</v>
      </c>
      <c r="F116" s="5">
        <v>1418322</v>
      </c>
      <c r="G116" s="5">
        <v>1089601</v>
      </c>
      <c r="H116" s="5">
        <f>SUM(D116:G116)</f>
        <v>10387508</v>
      </c>
      <c r="I116" s="6">
        <f>H116/$H$160</f>
        <v>0.004712668276188373</v>
      </c>
    </row>
    <row r="117" spans="1:9" x14ac:dyDescent="0.25">
      <c r="A117" s="4" t="s">
        <v>38</v>
      </c>
      <c r="B117" s="4" t="s">
        <v>23</v>
      </c>
      <c r="C117" s="4" t="s">
        <v>52</v>
      </c>
      <c r="D117" s="5">
        <v>5059041</v>
      </c>
      <c r="E117" s="5">
        <v>2846946</v>
      </c>
      <c r="F117" s="5">
        <v>1620883</v>
      </c>
      <c r="G117" s="5">
        <v>1124244</v>
      </c>
      <c r="H117" s="5">
        <f>SUM(D117:G117)</f>
        <v>10651114</v>
      </c>
      <c r="I117" s="6">
        <f>H117/$H$160</f>
        <v>0.004832262661445445</v>
      </c>
    </row>
    <row r="118" spans="1:9" x14ac:dyDescent="0.25">
      <c r="A118" s="4" t="s">
        <v>39</v>
      </c>
      <c r="B118" s="4" t="s">
        <v>25</v>
      </c>
      <c r="C118" s="4" t="s">
        <v>52</v>
      </c>
      <c r="D118" s="5">
        <v>6068541</v>
      </c>
      <c r="E118" s="5">
        <v>3546776</v>
      </c>
      <c r="F118" s="5">
        <v>1960361</v>
      </c>
      <c r="G118" s="5">
        <v>1442694</v>
      </c>
      <c r="H118" s="5">
        <f>SUM(D118:G118)</f>
        <v>13018372</v>
      </c>
      <c r="I118" s="6">
        <f>H118/$H$160</f>
        <v>0.005906254775641952</v>
      </c>
    </row>
    <row r="119" spans="1:9" x14ac:dyDescent="0.25">
      <c r="A119" s="4" t="s">
        <v>40</v>
      </c>
      <c r="B119" s="4" t="s">
        <v>12</v>
      </c>
      <c r="C119" s="4" t="s">
        <v>52</v>
      </c>
      <c r="D119" s="5">
        <v>7039913</v>
      </c>
      <c r="E119" s="5">
        <v>3356484</v>
      </c>
      <c r="F119" s="5">
        <v>2138897</v>
      </c>
      <c r="G119" s="5">
        <v>1305946</v>
      </c>
      <c r="H119" s="5">
        <f>SUM(D119:G119)</f>
        <v>13841240</v>
      </c>
      <c r="I119" s="6">
        <f>H119/$H$160</f>
        <v>0.00627957857179119</v>
      </c>
    </row>
    <row r="120" spans="1:9" x14ac:dyDescent="0.25">
      <c r="A120" s="4" t="s">
        <v>41</v>
      </c>
      <c r="B120" s="4" t="s">
        <v>15</v>
      </c>
      <c r="C120" s="4" t="s">
        <v>52</v>
      </c>
      <c r="D120" s="5">
        <v>6229817</v>
      </c>
      <c r="E120" s="5">
        <v>3603105</v>
      </c>
      <c r="F120" s="5">
        <v>1697209</v>
      </c>
      <c r="G120" s="5">
        <v>1284186</v>
      </c>
      <c r="H120" s="5">
        <f>SUM(D120:G120)</f>
        <v>12814317</v>
      </c>
      <c r="I120" s="6">
        <f>H120/$H$160</f>
        <v>0.005813677852948115</v>
      </c>
    </row>
    <row r="121" spans="1:9" x14ac:dyDescent="0.25">
      <c r="A121" s="4" t="s">
        <v>42</v>
      </c>
      <c r="B121" s="4" t="s">
        <v>17</v>
      </c>
      <c r="C121" s="4" t="s">
        <v>52</v>
      </c>
      <c r="D121" s="5">
        <v>4545673</v>
      </c>
      <c r="E121" s="5">
        <v>3034349</v>
      </c>
      <c r="F121" s="5">
        <v>1594248</v>
      </c>
      <c r="G121" s="5">
        <v>1012759</v>
      </c>
      <c r="H121" s="5">
        <f>SUM(D121:G121)</f>
        <v>10187029</v>
      </c>
      <c r="I121" s="6">
        <f>H121/$H$160</f>
        <v>0.004621713735085544</v>
      </c>
    </row>
    <row r="122" spans="1:9" x14ac:dyDescent="0.25">
      <c r="A122" s="4" t="s">
        <v>43</v>
      </c>
      <c r="B122" s="4" t="s">
        <v>19</v>
      </c>
      <c r="C122" s="4" t="s">
        <v>52</v>
      </c>
      <c r="D122" s="5">
        <v>4712702</v>
      </c>
      <c r="E122" s="5">
        <v>2668527</v>
      </c>
      <c r="F122" s="5">
        <v>1636525</v>
      </c>
      <c r="G122" s="5">
        <v>1144549</v>
      </c>
      <c r="H122" s="5">
        <f>SUM(D122:G122)</f>
        <v>10162303</v>
      </c>
      <c r="I122" s="6">
        <f>H122/$H$160</f>
        <v>0.004610495891903422</v>
      </c>
    </row>
    <row r="123" spans="1:9" x14ac:dyDescent="0.25">
      <c r="A123" s="4" t="s">
        <v>44</v>
      </c>
      <c r="B123" s="4" t="s">
        <v>21</v>
      </c>
      <c r="C123" s="4" t="s">
        <v>52</v>
      </c>
      <c r="D123" s="5">
        <v>4806225</v>
      </c>
      <c r="E123" s="5">
        <v>3046686</v>
      </c>
      <c r="F123" s="5">
        <v>1767845</v>
      </c>
      <c r="G123" s="5">
        <v>1202102</v>
      </c>
      <c r="H123" s="5">
        <f>SUM(D123:G123)</f>
        <v>10822858</v>
      </c>
      <c r="I123" s="6">
        <f>H123/$H$160</f>
        <v>0.00491018053168205</v>
      </c>
    </row>
    <row r="124" spans="1:9" x14ac:dyDescent="0.25">
      <c r="A124" s="4" t="s">
        <v>45</v>
      </c>
      <c r="B124" s="4" t="s">
        <v>23</v>
      </c>
      <c r="C124" s="4" t="s">
        <v>52</v>
      </c>
      <c r="D124" s="5">
        <v>4440974</v>
      </c>
      <c r="E124" s="5">
        <v>2885482</v>
      </c>
      <c r="F124" s="5">
        <v>1493576</v>
      </c>
      <c r="G124" s="5">
        <v>1078877</v>
      </c>
      <c r="H124" s="5">
        <f>SUM(D124:G124)</f>
        <v>9898909</v>
      </c>
      <c r="I124" s="6">
        <f>H124/$H$160</f>
        <v>0.004490997688105325</v>
      </c>
    </row>
    <row r="125" spans="1:9" x14ac:dyDescent="0.25">
      <c r="A125" s="4" t="s">
        <v>46</v>
      </c>
      <c r="B125" s="4" t="s">
        <v>25</v>
      </c>
      <c r="C125" s="4" t="s">
        <v>52</v>
      </c>
      <c r="D125" s="5">
        <v>6914193</v>
      </c>
      <c r="E125" s="5">
        <v>3538713</v>
      </c>
      <c r="F125" s="5">
        <v>1886998</v>
      </c>
      <c r="G125" s="5">
        <v>1256068</v>
      </c>
      <c r="H125" s="5">
        <f>SUM(D125:G125)</f>
        <v>13595972</v>
      </c>
      <c r="I125" s="6">
        <f>H125/$H$160</f>
        <v>0.006168303882735434</v>
      </c>
    </row>
    <row r="126" spans="1:9" x14ac:dyDescent="0.25">
      <c r="A126" s="4" t="s">
        <v>47</v>
      </c>
      <c r="B126" s="4" t="s">
        <v>12</v>
      </c>
      <c r="C126" s="4" t="s">
        <v>52</v>
      </c>
      <c r="D126" s="5">
        <v>6197696</v>
      </c>
      <c r="E126" s="5">
        <v>4140202</v>
      </c>
      <c r="F126" s="5">
        <v>2129488</v>
      </c>
      <c r="G126" s="5">
        <v>1383001</v>
      </c>
      <c r="H126" s="5">
        <f>SUM(D126:G126)</f>
        <v>13850387</v>
      </c>
      <c r="I126" s="6">
        <f>H126/$H$160</f>
        <v>0.006283728438797049</v>
      </c>
    </row>
    <row r="127" spans="1:9" x14ac:dyDescent="0.25">
      <c r="A127" s="4" t="s">
        <v>48</v>
      </c>
      <c r="B127" s="4" t="s">
        <v>15</v>
      </c>
      <c r="C127" s="4" t="s">
        <v>52</v>
      </c>
      <c r="D127" s="5">
        <v>6818824</v>
      </c>
      <c r="E127" s="5">
        <v>3482413</v>
      </c>
      <c r="F127" s="5">
        <v>2136431</v>
      </c>
      <c r="G127" s="5">
        <v>1202910</v>
      </c>
      <c r="H127" s="5">
        <f>SUM(D127:G127)</f>
        <v>13640578</v>
      </c>
      <c r="I127" s="6">
        <f>H127/$H$160</f>
        <v>0.006188541006127076</v>
      </c>
    </row>
    <row r="128" spans="1:9" x14ac:dyDescent="0.25">
      <c r="A128" s="4" t="s">
        <v>49</v>
      </c>
      <c r="B128" s="4" t="s">
        <v>17</v>
      </c>
      <c r="C128" s="4" t="s">
        <v>52</v>
      </c>
      <c r="D128" s="5">
        <v>5014399</v>
      </c>
      <c r="E128" s="5">
        <v>2688297</v>
      </c>
      <c r="F128" s="5">
        <v>1423518</v>
      </c>
      <c r="G128" s="5">
        <v>1081546</v>
      </c>
      <c r="H128" s="5">
        <f>SUM(D128:G128)</f>
        <v>10207760</v>
      </c>
      <c r="I128" s="6">
        <f>H128/$H$160</f>
        <v>0.004631119102189344</v>
      </c>
    </row>
    <row r="129" spans="1:9" x14ac:dyDescent="0.25">
      <c r="A129" s="4" t="s">
        <v>11</v>
      </c>
      <c r="B129" s="4" t="s">
        <v>12</v>
      </c>
      <c r="C129" s="4" t="s">
        <v>53</v>
      </c>
      <c r="D129" s="5">
        <v>4735688</v>
      </c>
      <c r="E129" s="5">
        <v>2761349</v>
      </c>
      <c r="F129" s="5">
        <v>1409826</v>
      </c>
      <c r="G129" s="5">
        <v>939387</v>
      </c>
      <c r="H129" s="5">
        <f>SUM(D129:G129)</f>
        <v>9846250</v>
      </c>
      <c r="I129" s="6">
        <f>H129/$H$160</f>
        <v>0.0044671070303310256</v>
      </c>
    </row>
    <row r="130" spans="1:9" x14ac:dyDescent="0.25">
      <c r="A130" s="4" t="s">
        <v>14</v>
      </c>
      <c r="B130" s="4" t="s">
        <v>15</v>
      </c>
      <c r="C130" s="4" t="s">
        <v>53</v>
      </c>
      <c r="D130" s="5">
        <v>4665011</v>
      </c>
      <c r="E130" s="5">
        <v>2767120</v>
      </c>
      <c r="F130" s="5">
        <v>1470086</v>
      </c>
      <c r="G130" s="5">
        <v>1185823</v>
      </c>
      <c r="H130" s="5">
        <f>SUM(D130:G130)</f>
        <v>10088040</v>
      </c>
      <c r="I130" s="6">
        <f>H130/$H$160</f>
        <v>0.004576803799036242</v>
      </c>
    </row>
    <row r="131" spans="1:9" x14ac:dyDescent="0.25">
      <c r="A131" s="4" t="s">
        <v>16</v>
      </c>
      <c r="B131" s="4" t="s">
        <v>17</v>
      </c>
      <c r="C131" s="4" t="s">
        <v>53</v>
      </c>
      <c r="D131" s="5">
        <v>3785961</v>
      </c>
      <c r="E131" s="5">
        <v>2142272</v>
      </c>
      <c r="F131" s="5">
        <v>1119865</v>
      </c>
      <c r="G131" s="5">
        <v>824856</v>
      </c>
      <c r="H131" s="5">
        <f>SUM(D131:G131)</f>
        <v>7872954</v>
      </c>
      <c r="I131" s="6">
        <f>H131/$H$160</f>
        <v>0.00357185001019401</v>
      </c>
    </row>
    <row r="132" spans="1:9" x14ac:dyDescent="0.25">
      <c r="A132" s="4" t="s">
        <v>18</v>
      </c>
      <c r="B132" s="4" t="s">
        <v>19</v>
      </c>
      <c r="C132" s="4" t="s">
        <v>53</v>
      </c>
      <c r="D132" s="5">
        <v>3375811</v>
      </c>
      <c r="E132" s="5">
        <v>1942708</v>
      </c>
      <c r="F132" s="5">
        <v>1060556</v>
      </c>
      <c r="G132" s="5">
        <v>616547</v>
      </c>
      <c r="H132" s="5">
        <f>SUM(D132:G132)</f>
        <v>6995622</v>
      </c>
      <c r="I132" s="6">
        <f>H132/$H$160</f>
        <v>0.003173816652810805</v>
      </c>
    </row>
    <row r="133" spans="1:9" x14ac:dyDescent="0.25">
      <c r="A133" s="4" t="s">
        <v>20</v>
      </c>
      <c r="B133" s="4" t="s">
        <v>21</v>
      </c>
      <c r="C133" s="4" t="s">
        <v>53</v>
      </c>
      <c r="D133" s="5">
        <v>3302550</v>
      </c>
      <c r="E133" s="5">
        <v>1958836</v>
      </c>
      <c r="F133" s="5">
        <v>1080809</v>
      </c>
      <c r="G133" s="5">
        <v>698541</v>
      </c>
      <c r="H133" s="5">
        <f>SUM(D133:G133)</f>
        <v>7040736</v>
      </c>
      <c r="I133" s="6">
        <f>H133/$H$160</f>
        <v>0.0031942842487550837</v>
      </c>
    </row>
    <row r="134" spans="1:9" x14ac:dyDescent="0.25">
      <c r="A134" s="4" t="s">
        <v>22</v>
      </c>
      <c r="B134" s="4" t="s">
        <v>23</v>
      </c>
      <c r="C134" s="4" t="s">
        <v>53</v>
      </c>
      <c r="D134" s="5">
        <v>3738316</v>
      </c>
      <c r="E134" s="5">
        <v>2045036</v>
      </c>
      <c r="F134" s="5">
        <v>1184988</v>
      </c>
      <c r="G134" s="5">
        <v>746943</v>
      </c>
      <c r="H134" s="5">
        <f>SUM(D134:G134)</f>
        <v>7715283</v>
      </c>
      <c r="I134" s="6">
        <f>H134/$H$160</f>
        <v>0.003500316864826045</v>
      </c>
    </row>
    <row r="135" spans="1:9" x14ac:dyDescent="0.25">
      <c r="A135" s="4" t="s">
        <v>24</v>
      </c>
      <c r="B135" s="4" t="s">
        <v>25</v>
      </c>
      <c r="C135" s="4" t="s">
        <v>53</v>
      </c>
      <c r="D135" s="5">
        <v>4384275</v>
      </c>
      <c r="E135" s="5">
        <v>2327531</v>
      </c>
      <c r="F135" s="5">
        <v>1527083</v>
      </c>
      <c r="G135" s="5">
        <v>987332</v>
      </c>
      <c r="H135" s="5">
        <f>SUM(D135:G135)</f>
        <v>9226221</v>
      </c>
      <c r="I135" s="6">
        <f>H135/$H$160</f>
        <v>0.004185808474544903</v>
      </c>
    </row>
    <row r="136" spans="1:9" x14ac:dyDescent="0.25">
      <c r="A136" s="4" t="s">
        <v>26</v>
      </c>
      <c r="B136" s="4" t="s">
        <v>12</v>
      </c>
      <c r="C136" s="4" t="s">
        <v>53</v>
      </c>
      <c r="D136" s="5">
        <v>4255699</v>
      </c>
      <c r="E136" s="5">
        <v>2391018</v>
      </c>
      <c r="F136" s="5">
        <v>1598485</v>
      </c>
      <c r="G136" s="5">
        <v>871594</v>
      </c>
      <c r="H136" s="5">
        <f>SUM(D136:G136)</f>
        <v>9116796</v>
      </c>
      <c r="I136" s="6">
        <f>H136/$H$160</f>
        <v>0.00413616387007173</v>
      </c>
    </row>
    <row r="137" spans="1:9" x14ac:dyDescent="0.25">
      <c r="A137" s="4" t="s">
        <v>27</v>
      </c>
      <c r="B137" s="4" t="s">
        <v>15</v>
      </c>
      <c r="C137" s="4" t="s">
        <v>53</v>
      </c>
      <c r="D137" s="5">
        <v>4480217</v>
      </c>
      <c r="E137" s="5">
        <v>2544449</v>
      </c>
      <c r="F137" s="5">
        <v>1657977</v>
      </c>
      <c r="G137" s="5">
        <v>1080944</v>
      </c>
      <c r="H137" s="5">
        <f>SUM(D137:G137)</f>
        <v>9763587</v>
      </c>
      <c r="I137" s="6">
        <f>H137/$H$160</f>
        <v>0.004429603973995035</v>
      </c>
    </row>
    <row r="138" spans="1:9" x14ac:dyDescent="0.25">
      <c r="A138" s="4" t="s">
        <v>28</v>
      </c>
      <c r="B138" s="4" t="s">
        <v>17</v>
      </c>
      <c r="C138" s="4" t="s">
        <v>53</v>
      </c>
      <c r="D138" s="5">
        <v>3665860</v>
      </c>
      <c r="E138" s="5">
        <v>2317214</v>
      </c>
      <c r="F138" s="5">
        <v>1091749</v>
      </c>
      <c r="G138" s="5">
        <v>768672</v>
      </c>
      <c r="H138" s="5">
        <f>SUM(D138:G138)</f>
        <v>7843495</v>
      </c>
      <c r="I138" s="6">
        <f>H138/$H$160</f>
        <v>0.003558484870571664</v>
      </c>
    </row>
    <row r="139" spans="1:9" x14ac:dyDescent="0.25">
      <c r="A139" s="4" t="s">
        <v>29</v>
      </c>
      <c r="B139" s="4" t="s">
        <v>19</v>
      </c>
      <c r="C139" s="4" t="s">
        <v>53</v>
      </c>
      <c r="D139" s="5">
        <v>3797415</v>
      </c>
      <c r="E139" s="5">
        <v>2024582</v>
      </c>
      <c r="F139" s="5">
        <v>1317659</v>
      </c>
      <c r="G139" s="5">
        <v>734556</v>
      </c>
      <c r="H139" s="5">
        <f>SUM(D139:G139)</f>
        <v>7874212</v>
      </c>
      <c r="I139" s="6">
        <f>H139/$H$160</f>
        <v>0.003572420747342077</v>
      </c>
    </row>
    <row r="140" spans="1:9" x14ac:dyDescent="0.25">
      <c r="A140" s="4" t="s">
        <v>30</v>
      </c>
      <c r="B140" s="4" t="s">
        <v>21</v>
      </c>
      <c r="C140" s="4" t="s">
        <v>53</v>
      </c>
      <c r="D140" s="5">
        <v>3613245</v>
      </c>
      <c r="E140" s="5">
        <v>1831478</v>
      </c>
      <c r="F140" s="5">
        <v>1000094</v>
      </c>
      <c r="G140" s="5">
        <v>735220</v>
      </c>
      <c r="H140" s="5">
        <f>SUM(D140:G140)</f>
        <v>7180037</v>
      </c>
      <c r="I140" s="6">
        <f>H140/$H$160</f>
        <v>0.0032574831799656607</v>
      </c>
    </row>
    <row r="141" spans="1:9" x14ac:dyDescent="0.25">
      <c r="A141" s="4" t="s">
        <v>31</v>
      </c>
      <c r="B141" s="4" t="s">
        <v>23</v>
      </c>
      <c r="C141" s="4" t="s">
        <v>53</v>
      </c>
      <c r="D141" s="5">
        <v>3449878</v>
      </c>
      <c r="E141" s="5">
        <v>1834717</v>
      </c>
      <c r="F141" s="5">
        <v>938870</v>
      </c>
      <c r="G141" s="5">
        <v>696733</v>
      </c>
      <c r="H141" s="5">
        <f>SUM(D141:G141)</f>
        <v>6920198</v>
      </c>
      <c r="I141" s="6">
        <f>H141/$H$160</f>
        <v>0.0031395978303499</v>
      </c>
    </row>
    <row r="142" spans="1:9" x14ac:dyDescent="0.25">
      <c r="A142" s="4" t="s">
        <v>32</v>
      </c>
      <c r="B142" s="4" t="s">
        <v>25</v>
      </c>
      <c r="C142" s="4" t="s">
        <v>53</v>
      </c>
      <c r="D142" s="5">
        <v>4469638</v>
      </c>
      <c r="E142" s="5">
        <v>2328216</v>
      </c>
      <c r="F142" s="5">
        <v>1319516</v>
      </c>
      <c r="G142" s="5">
        <v>1006217</v>
      </c>
      <c r="H142" s="5">
        <f>SUM(D142:G142)</f>
        <v>9123587</v>
      </c>
      <c r="I142" s="6">
        <f>H142/$H$160</f>
        <v>0.004139244852561813</v>
      </c>
    </row>
    <row r="143" spans="1:9" x14ac:dyDescent="0.25">
      <c r="A143" s="4" t="s">
        <v>33</v>
      </c>
      <c r="B143" s="4" t="s">
        <v>12</v>
      </c>
      <c r="C143" s="4" t="s">
        <v>53</v>
      </c>
      <c r="D143" s="5">
        <v>4523242</v>
      </c>
      <c r="E143" s="5">
        <v>2489299</v>
      </c>
      <c r="F143" s="5">
        <v>1206358</v>
      </c>
      <c r="G143" s="5">
        <v>950159</v>
      </c>
      <c r="H143" s="5">
        <f>SUM(D143:G143)</f>
        <v>9169058</v>
      </c>
      <c r="I143" s="6">
        <f>H143/$H$160</f>
        <v>0.004159874414453516</v>
      </c>
    </row>
    <row r="144" spans="1:9" x14ac:dyDescent="0.25">
      <c r="A144" s="4" t="s">
        <v>34</v>
      </c>
      <c r="B144" s="4" t="s">
        <v>15</v>
      </c>
      <c r="C144" s="4" t="s">
        <v>53</v>
      </c>
      <c r="D144" s="5">
        <v>4390990</v>
      </c>
      <c r="E144" s="5">
        <v>3090008</v>
      </c>
      <c r="F144" s="5">
        <v>1623003</v>
      </c>
      <c r="G144" s="5">
        <v>969933</v>
      </c>
      <c r="H144" s="5">
        <f>SUM(D144:G144)</f>
        <v>10073934</v>
      </c>
      <c r="I144" s="6">
        <f>H144/$H$160</f>
        <v>0.004570404102525403</v>
      </c>
    </row>
    <row r="145" spans="1:9" x14ac:dyDescent="0.25">
      <c r="A145" s="4" t="s">
        <v>35</v>
      </c>
      <c r="B145" s="4" t="s">
        <v>17</v>
      </c>
      <c r="C145" s="4" t="s">
        <v>53</v>
      </c>
      <c r="D145" s="5">
        <v>3630293</v>
      </c>
      <c r="E145" s="5">
        <v>2045460</v>
      </c>
      <c r="F145" s="5">
        <v>944599</v>
      </c>
      <c r="G145" s="5">
        <v>744981</v>
      </c>
      <c r="H145" s="5">
        <f>SUM(D145:G145)</f>
        <v>7365333</v>
      </c>
      <c r="I145" s="6">
        <f>H145/$H$160</f>
        <v>0.003341549404598614</v>
      </c>
    </row>
    <row r="146" spans="1:9" x14ac:dyDescent="0.25">
      <c r="A146" s="4" t="s">
        <v>36</v>
      </c>
      <c r="B146" s="4" t="s">
        <v>19</v>
      </c>
      <c r="C146" s="4" t="s">
        <v>53</v>
      </c>
      <c r="D146" s="5">
        <v>3997940</v>
      </c>
      <c r="E146" s="5">
        <v>1899757</v>
      </c>
      <c r="F146" s="5">
        <v>1145624</v>
      </c>
      <c r="G146" s="5">
        <v>734579</v>
      </c>
      <c r="H146" s="5">
        <f>SUM(D146:G146)</f>
        <v>7777900</v>
      </c>
      <c r="I146" s="6">
        <f>H146/$H$160</f>
        <v>0.003528725329055395</v>
      </c>
    </row>
    <row r="147" spans="1:9" x14ac:dyDescent="0.25">
      <c r="A147" s="4" t="s">
        <v>37</v>
      </c>
      <c r="B147" s="4" t="s">
        <v>21</v>
      </c>
      <c r="C147" s="4" t="s">
        <v>53</v>
      </c>
      <c r="D147" s="5">
        <v>3544215</v>
      </c>
      <c r="E147" s="5">
        <v>1933494</v>
      </c>
      <c r="F147" s="5">
        <v>1161718</v>
      </c>
      <c r="G147" s="5">
        <v>860909</v>
      </c>
      <c r="H147" s="5">
        <f>SUM(D147:G147)</f>
        <v>7500336</v>
      </c>
      <c r="I147" s="6">
        <f>H147/$H$160</f>
        <v>0.0034027983928343157</v>
      </c>
    </row>
    <row r="148" spans="1:9" x14ac:dyDescent="0.25">
      <c r="A148" s="4" t="s">
        <v>38</v>
      </c>
      <c r="B148" s="4" t="s">
        <v>23</v>
      </c>
      <c r="C148" s="4" t="s">
        <v>53</v>
      </c>
      <c r="D148" s="5">
        <v>3136239</v>
      </c>
      <c r="E148" s="5">
        <v>2137042</v>
      </c>
      <c r="F148" s="5">
        <v>964839</v>
      </c>
      <c r="G148" s="5">
        <v>745131</v>
      </c>
      <c r="H148" s="5">
        <f>SUM(D148:G148)</f>
        <v>6983251</v>
      </c>
      <c r="I148" s="6">
        <f>H148/$H$160</f>
        <v>0.0031682041017307263</v>
      </c>
    </row>
    <row r="149" spans="1:9" x14ac:dyDescent="0.25">
      <c r="A149" s="4" t="s">
        <v>39</v>
      </c>
      <c r="B149" s="4" t="s">
        <v>25</v>
      </c>
      <c r="C149" s="4" t="s">
        <v>53</v>
      </c>
      <c r="D149" s="5">
        <v>4557964</v>
      </c>
      <c r="E149" s="5">
        <v>2687199</v>
      </c>
      <c r="F149" s="5">
        <v>1324150</v>
      </c>
      <c r="G149" s="5">
        <v>975380</v>
      </c>
      <c r="H149" s="5">
        <f>SUM(D149:G149)</f>
        <v>9544693</v>
      </c>
      <c r="I149" s="6">
        <f>H149/$H$160</f>
        <v>0.004330294802859091</v>
      </c>
    </row>
    <row r="150" spans="1:9" x14ac:dyDescent="0.25">
      <c r="A150" s="4" t="s">
        <v>40</v>
      </c>
      <c r="B150" s="4" t="s">
        <v>12</v>
      </c>
      <c r="C150" s="4" t="s">
        <v>53</v>
      </c>
      <c r="D150" s="5">
        <v>4631784</v>
      </c>
      <c r="E150" s="5">
        <v>2709314</v>
      </c>
      <c r="F150" s="5">
        <v>1405016</v>
      </c>
      <c r="G150" s="5">
        <v>869641</v>
      </c>
      <c r="H150" s="5">
        <f>SUM(D150:G150)</f>
        <v>9615755</v>
      </c>
      <c r="I150" s="6">
        <f>H150/$H$160</f>
        <v>0.004362534646432978</v>
      </c>
    </row>
    <row r="151" spans="1:9" x14ac:dyDescent="0.25">
      <c r="A151" s="4" t="s">
        <v>41</v>
      </c>
      <c r="B151" s="4" t="s">
        <v>15</v>
      </c>
      <c r="C151" s="4" t="s">
        <v>53</v>
      </c>
      <c r="D151" s="5">
        <v>4637923</v>
      </c>
      <c r="E151" s="5">
        <v>2923397</v>
      </c>
      <c r="F151" s="5">
        <v>1476670</v>
      </c>
      <c r="G151" s="5">
        <v>1074634</v>
      </c>
      <c r="H151" s="5">
        <f>SUM(D151:G151)</f>
        <v>10112624</v>
      </c>
      <c r="I151" s="6">
        <f>H151/$H$160</f>
        <v>0.004587957218788296</v>
      </c>
    </row>
    <row r="152" spans="1:9" x14ac:dyDescent="0.25">
      <c r="A152" s="4" t="s">
        <v>42</v>
      </c>
      <c r="B152" s="4" t="s">
        <v>17</v>
      </c>
      <c r="C152" s="4" t="s">
        <v>53</v>
      </c>
      <c r="D152" s="5">
        <v>3534866</v>
      </c>
      <c r="E152" s="5">
        <v>1919486</v>
      </c>
      <c r="F152" s="5">
        <v>1060956</v>
      </c>
      <c r="G152" s="5">
        <v>685754</v>
      </c>
      <c r="H152" s="5">
        <f>SUM(D152:G152)</f>
        <v>7201062</v>
      </c>
      <c r="I152" s="6">
        <f>H152/$H$160</f>
        <v>0.003267021930790869</v>
      </c>
    </row>
    <row r="153" spans="1:9" x14ac:dyDescent="0.25">
      <c r="A153" s="4" t="s">
        <v>43</v>
      </c>
      <c r="B153" s="4" t="s">
        <v>19</v>
      </c>
      <c r="C153" s="4" t="s">
        <v>53</v>
      </c>
      <c r="D153" s="5">
        <v>3199981</v>
      </c>
      <c r="E153" s="5">
        <v>2045669</v>
      </c>
      <c r="F153" s="5">
        <v>931801</v>
      </c>
      <c r="G153" s="5">
        <v>770766</v>
      </c>
      <c r="H153" s="5">
        <f>SUM(D153:G153)</f>
        <v>6948217</v>
      </c>
      <c r="I153" s="6">
        <f>H153/$H$160</f>
        <v>0.003152309661949021</v>
      </c>
    </row>
    <row r="154" spans="1:9" x14ac:dyDescent="0.25">
      <c r="A154" s="4" t="s">
        <v>44</v>
      </c>
      <c r="B154" s="4" t="s">
        <v>21</v>
      </c>
      <c r="C154" s="4" t="s">
        <v>53</v>
      </c>
      <c r="D154" s="5">
        <v>3373880</v>
      </c>
      <c r="E154" s="5">
        <v>2261007</v>
      </c>
      <c r="F154" s="5">
        <v>992337</v>
      </c>
      <c r="G154" s="5">
        <v>718783</v>
      </c>
      <c r="H154" s="5">
        <f>SUM(D154:G154)</f>
        <v>7346007</v>
      </c>
      <c r="I154" s="6">
        <f>H154/$H$160</f>
        <v>0.0033327814665035853</v>
      </c>
    </row>
    <row r="155" spans="1:9" x14ac:dyDescent="0.25">
      <c r="A155" s="4" t="s">
        <v>45</v>
      </c>
      <c r="B155" s="4" t="s">
        <v>23</v>
      </c>
      <c r="C155" s="4" t="s">
        <v>53</v>
      </c>
      <c r="D155" s="5">
        <v>3462212</v>
      </c>
      <c r="E155" s="5">
        <v>2113953</v>
      </c>
      <c r="F155" s="5">
        <v>1057458</v>
      </c>
      <c r="G155" s="5">
        <v>807675</v>
      </c>
      <c r="H155" s="5">
        <f>SUM(D155:G155)</f>
        <v>7441298</v>
      </c>
      <c r="I155" s="6">
        <f>H155/$H$160</f>
        <v>0.0033760136712543557</v>
      </c>
    </row>
    <row r="156" spans="1:9" x14ac:dyDescent="0.25">
      <c r="A156" s="4" t="s">
        <v>46</v>
      </c>
      <c r="B156" s="4" t="s">
        <v>25</v>
      </c>
      <c r="C156" s="4" t="s">
        <v>53</v>
      </c>
      <c r="D156" s="5">
        <v>4698727</v>
      </c>
      <c r="E156" s="5">
        <v>2262384</v>
      </c>
      <c r="F156" s="5">
        <v>1290926</v>
      </c>
      <c r="G156" s="5">
        <v>868421</v>
      </c>
      <c r="H156" s="5">
        <f>SUM(D156:G156)</f>
        <v>9120458</v>
      </c>
      <c r="I156" s="6">
        <f>H156/$H$160</f>
        <v>0.004137825268669681</v>
      </c>
    </row>
    <row r="157" spans="1:9" x14ac:dyDescent="0.25">
      <c r="A157" s="4" t="s">
        <v>47</v>
      </c>
      <c r="B157" s="4" t="s">
        <v>12</v>
      </c>
      <c r="C157" s="4" t="s">
        <v>53</v>
      </c>
      <c r="D157" s="5">
        <v>4686050</v>
      </c>
      <c r="E157" s="5">
        <v>2487297</v>
      </c>
      <c r="F157" s="5">
        <v>1343891</v>
      </c>
      <c r="G157" s="5">
        <v>1008551</v>
      </c>
      <c r="H157" s="5">
        <f>SUM(D157:G157)</f>
        <v>9525789</v>
      </c>
      <c r="I157" s="6">
        <f>H157/$H$160</f>
        <v>0.0043217183203097575</v>
      </c>
    </row>
    <row r="158" spans="1:9" x14ac:dyDescent="0.25">
      <c r="A158" s="4" t="s">
        <v>48</v>
      </c>
      <c r="B158" s="4" t="s">
        <v>15</v>
      </c>
      <c r="C158" s="4" t="s">
        <v>53</v>
      </c>
      <c r="D158" s="5">
        <v>4701877</v>
      </c>
      <c r="E158" s="5">
        <v>2480182</v>
      </c>
      <c r="F158" s="5">
        <v>1294183</v>
      </c>
      <c r="G158" s="5">
        <v>822656</v>
      </c>
      <c r="H158" s="5">
        <f>SUM(D158:G158)</f>
        <v>9298898</v>
      </c>
      <c r="I158" s="6">
        <f>H158/$H$160</f>
        <v>0.004218781021214281</v>
      </c>
    </row>
    <row r="159" spans="1:9" x14ac:dyDescent="0.25">
      <c r="A159" s="4" t="s">
        <v>49</v>
      </c>
      <c r="B159" s="4" t="s">
        <v>17</v>
      </c>
      <c r="C159" s="4" t="s">
        <v>53</v>
      </c>
      <c r="D159" s="5">
        <v>3574055</v>
      </c>
      <c r="E159" s="5">
        <v>2012017</v>
      </c>
      <c r="F159" s="5">
        <v>1098694</v>
      </c>
      <c r="G159" s="5">
        <v>608761</v>
      </c>
      <c r="H159" s="5">
        <f>SUM(D159:G159)</f>
        <v>7293527</v>
      </c>
      <c r="I159" s="6">
        <f>H159/$H$160</f>
        <v>0.003308972018546061</v>
      </c>
    </row>
    <row r="160" spans="1:8" x14ac:dyDescent="0.25">
      <c r="A160" s="7" t="s">
        <v>54</v>
      </c>
      <c r="D160" s="8">
        <f>SUM(D5:D159)</f>
        <v>1065469857</v>
      </c>
      <c r="E160" s="8">
        <f>SUM(E5:E159)</f>
        <v>592340635</v>
      </c>
      <c r="F160" s="8">
        <f>SUM(F5:F159)</f>
        <v>326505955</v>
      </c>
      <c r="G160" s="8">
        <f>SUM(G5:G159)</f>
        <v>219850575</v>
      </c>
      <c r="H160" s="8">
        <f>SUM(H5:H159)</f>
        <v>2204167022</v>
      </c>
    </row>
    <row r="161" spans="1:8" x14ac:dyDescent="0.25">
      <c r="A161" s="9" t="s">
        <v>55</v>
      </c>
      <c r="D161" s="10">
        <f>AVERAGE(D5:D159)</f>
        <v>6873999.077419355</v>
      </c>
      <c r="E161" s="10">
        <f>AVERAGE(E5:E159)</f>
        <v>3821552.4838709678</v>
      </c>
      <c r="F161" s="10">
        <f>AVERAGE(F5:F159)</f>
        <v>2106490.0322580645</v>
      </c>
      <c r="G161" s="10">
        <f>AVERAGE(G5:G159)</f>
        <v>1418390.8064516129</v>
      </c>
      <c r="H161" s="10">
        <f>AVERAGE(H5:H159)</f>
        <v>14220432.4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4" customWidth="1"/>
    <col min="2" max="2" width="18" customWidth="1"/>
    <col min="3" max="4" width="20" customWidth="1"/>
    <col min="5" max="5" width="14" customWidth="1"/>
  </cols>
  <sheetData>
    <row r="1" ht="24" customHeight="1" spans="1:5" x14ac:dyDescent="0.25">
      <c r="A1" s="1" t="s">
        <v>56</v>
      </c>
      <c r="B1" s="1"/>
      <c r="C1" s="1"/>
      <c r="D1" s="1"/>
      <c r="E1" s="1"/>
    </row>
    <row r="2" spans="1:5" x14ac:dyDescent="0.25">
      <c r="A2" s="2" t="s">
        <v>57</v>
      </c>
      <c r="B2" s="2"/>
      <c r="C2" s="2"/>
      <c r="D2" s="2"/>
      <c r="E2" s="2"/>
    </row>
    <row r="4" ht="22" customHeight="1" spans="1:5" x14ac:dyDescent="0.25">
      <c r="A4" s="3" t="s">
        <v>4</v>
      </c>
      <c r="B4" s="3" t="s">
        <v>58</v>
      </c>
      <c r="C4" s="3" t="s">
        <v>59</v>
      </c>
      <c r="D4" s="3" t="s">
        <v>60</v>
      </c>
      <c r="E4" s="3" t="s">
        <v>10</v>
      </c>
    </row>
    <row r="5" spans="1:5" x14ac:dyDescent="0.25">
      <c r="A5" s="4" t="s">
        <v>13</v>
      </c>
      <c r="B5" s="4" t="s">
        <v>61</v>
      </c>
      <c r="C5" s="5">
        <f>SUM('Data Harian'!H5:H35)</f>
        <v>660067372</v>
      </c>
      <c r="D5" s="5">
        <f>AVERAGE('Data Harian'!H5:H35)</f>
        <v>21292495.870967742</v>
      </c>
      <c r="E5" s="11">
        <f>C5/$C$10</f>
        <v>0.299463409719774</v>
      </c>
    </row>
    <row r="6" spans="1:5" x14ac:dyDescent="0.25">
      <c r="A6" s="4" t="s">
        <v>50</v>
      </c>
      <c r="B6" s="4" t="s">
        <v>62</v>
      </c>
      <c r="C6" s="5">
        <f>SUM('Data Harian'!H36:H66)</f>
        <v>500821846</v>
      </c>
      <c r="D6" s="5">
        <f>AVERAGE('Data Harian'!H36:H66)</f>
        <v>16155543.41935484</v>
      </c>
      <c r="E6" s="11">
        <f>C6/$C$10</f>
        <v>0.22721592374863142</v>
      </c>
    </row>
    <row r="7" spans="1:5" x14ac:dyDescent="0.25">
      <c r="A7" s="4" t="s">
        <v>51</v>
      </c>
      <c r="B7" s="4" t="s">
        <v>63</v>
      </c>
      <c r="C7" s="5">
        <f>SUM('Data Harian'!H67:H97)</f>
        <v>418150371</v>
      </c>
      <c r="D7" s="5">
        <f>AVERAGE('Data Harian'!H67:H97)</f>
        <v>13488721.64516129</v>
      </c>
      <c r="E7" s="11">
        <f>C7/$C$10</f>
        <v>0.18970902242271184</v>
      </c>
    </row>
    <row r="8" spans="1:5" x14ac:dyDescent="0.25">
      <c r="A8" s="4" t="s">
        <v>52</v>
      </c>
      <c r="B8" s="4" t="s">
        <v>64</v>
      </c>
      <c r="C8" s="5">
        <f>SUM('Data Harian'!H98:H128)</f>
        <v>366202275</v>
      </c>
      <c r="D8" s="5">
        <f>AVERAGE('Data Harian'!H98:H128)</f>
        <v>11812976.612903226</v>
      </c>
      <c r="E8" s="11">
        <f>C8/$C$10</f>
        <v>0.16614089193101084</v>
      </c>
    </row>
    <row r="9" spans="1:5" x14ac:dyDescent="0.25">
      <c r="A9" s="4" t="s">
        <v>53</v>
      </c>
      <c r="B9" s="4" t="s">
        <v>65</v>
      </c>
      <c r="C9" s="5">
        <f>SUM('Data Harian'!H129:H159)</f>
        <v>258925158</v>
      </c>
      <c r="D9" s="5">
        <f>AVERAGE('Data Harian'!H129:H159)</f>
        <v>8352424.451612903</v>
      </c>
      <c r="E9" s="11">
        <f>C9/$C$10</f>
        <v>0.11747075217787194</v>
      </c>
    </row>
    <row r="10" spans="1:3" x14ac:dyDescent="0.25">
      <c r="A10" s="7" t="s">
        <v>66</v>
      </c>
      <c r="C10" s="12">
        <f>SUM(C5:C9)</f>
        <v>2204167022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6" customWidth="1"/>
    <col min="2" max="2" width="20" customWidth="1"/>
    <col min="3" max="3" width="14" customWidth="1"/>
  </cols>
  <sheetData>
    <row r="1" ht="24" customHeight="1" spans="1:3" x14ac:dyDescent="0.25">
      <c r="A1" s="1" t="s">
        <v>67</v>
      </c>
      <c r="B1" s="1"/>
      <c r="C1" s="1"/>
    </row>
    <row r="2" spans="1:3" x14ac:dyDescent="0.25">
      <c r="A2" s="2" t="s">
        <v>57</v>
      </c>
      <c r="B2" s="2"/>
      <c r="C2" s="2"/>
    </row>
    <row r="4" ht="22" customHeight="1" spans="1:3" x14ac:dyDescent="0.25">
      <c r="A4" s="3" t="s">
        <v>68</v>
      </c>
      <c r="B4" s="3" t="s">
        <v>59</v>
      </c>
      <c r="C4" s="3" t="s">
        <v>10</v>
      </c>
    </row>
    <row r="5" spans="1:3" x14ac:dyDescent="0.25">
      <c r="A5" s="4" t="s">
        <v>69</v>
      </c>
      <c r="B5" s="5">
        <f>SUM('Data Harian'!D5:D159)</f>
        <v>1065469857</v>
      </c>
      <c r="C5" s="11">
        <f>B5/$B$9</f>
        <v>0.4833888931126563</v>
      </c>
    </row>
    <row r="6" spans="1:3" x14ac:dyDescent="0.25">
      <c r="A6" s="4" t="s">
        <v>70</v>
      </c>
      <c r="B6" s="5">
        <f>SUM('Data Harian'!E5:E159)</f>
        <v>592340635</v>
      </c>
      <c r="C6" s="11">
        <f>B6/$B$9</f>
        <v>0.268736728699682</v>
      </c>
    </row>
    <row r="7" spans="1:3" x14ac:dyDescent="0.25">
      <c r="A7" s="4" t="s">
        <v>71</v>
      </c>
      <c r="B7" s="5">
        <f>SUM('Data Harian'!F5:F159)</f>
        <v>326505955</v>
      </c>
      <c r="C7" s="11">
        <f>B7/$B$9</f>
        <v>0.14813122224455458</v>
      </c>
    </row>
    <row r="8" spans="1:3" x14ac:dyDescent="0.25">
      <c r="A8" s="4" t="s">
        <v>72</v>
      </c>
      <c r="B8" s="5">
        <f>SUM('Data Harian'!G5:G159)</f>
        <v>219850575</v>
      </c>
      <c r="C8" s="11">
        <f>B8/$B$9</f>
        <v>0.0997431559431071</v>
      </c>
    </row>
    <row r="9" spans="1:2" x14ac:dyDescent="0.25">
      <c r="A9" s="7" t="s">
        <v>54</v>
      </c>
      <c r="B9" s="12">
        <f>SUM(B5:B8)</f>
        <v>2204167022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Harian</vt:lpstr>
      <vt:lpstr>Rekap per Cabang</vt:lpstr>
      <vt:lpstr>Rekap per Kategori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Makan Mania Mantap</dc:creator>
  <dc:title/>
  <dc:subject/>
  <dc:description/>
  <cp:keywords/>
  <cp:category/>
  <cp:lastModifiedBy>Unknown</cp:lastModifiedBy>
  <dcterms:created xsi:type="dcterms:W3CDTF">2026-09-07T12:44:57Z</dcterms:created>
  <dcterms:modified xsi:type="dcterms:W3CDTF">2026-09-07T12:44:57Z</dcterms:modified>
</cp:coreProperties>
</file>